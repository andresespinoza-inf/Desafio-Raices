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2b85a41fbaaf1c/Documentos/metodos numericos/ejercicios raices/"/>
    </mc:Choice>
  </mc:AlternateContent>
  <xr:revisionPtr revIDLastSave="1" documentId="8_{AF6EC4BC-8A93-4E67-A9E3-70697C86AE51}" xr6:coauthVersionLast="47" xr6:coauthVersionMax="47" xr10:uidLastSave="{F39FF39C-2DF7-4E4D-A0CE-CD109C925AB8}"/>
  <bookViews>
    <workbookView xWindow="-120" yWindow="-120" windowWidth="29040" windowHeight="15720" xr2:uid="{34AE60F4-0516-472B-92E3-92CB8D6CC2A2}"/>
  </bookViews>
  <sheets>
    <sheet name="Resumen" sheetId="1" r:id="rId1"/>
    <sheet name="Bisección" sheetId="2" r:id="rId2"/>
    <sheet name="Bisección 2" sheetId="3" r:id="rId3"/>
    <sheet name="Soluciones Bisección" sheetId="4" r:id="rId4"/>
    <sheet name="Newton 3.5" sheetId="5" r:id="rId5"/>
    <sheet name="Newton 7.5" sheetId="6" r:id="rId6"/>
    <sheet name="Soluciones Newton" sheetId="7" r:id="rId7"/>
    <sheet name="Secante" sheetId="8" r:id="rId8"/>
    <sheet name="Secante 2" sheetId="9" r:id="rId9"/>
    <sheet name="Soluciones secante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0" l="1"/>
  <c r="D9" i="10"/>
  <c r="C9" i="10"/>
  <c r="C7" i="10"/>
  <c r="D6" i="10"/>
  <c r="C6" i="10"/>
  <c r="C6" i="9"/>
  <c r="B6" i="9"/>
  <c r="B7" i="9" s="1"/>
  <c r="B8" i="9" s="1"/>
  <c r="B9" i="9" s="1"/>
  <c r="B10" i="9" s="1"/>
  <c r="B11" i="9" s="1"/>
  <c r="B12" i="9" s="1"/>
  <c r="F5" i="9"/>
  <c r="E6" i="9" s="1"/>
  <c r="E5" i="9"/>
  <c r="I6" i="8"/>
  <c r="I7" i="8"/>
  <c r="I8" i="8"/>
  <c r="I9" i="8"/>
  <c r="I10" i="8"/>
  <c r="I5" i="8"/>
  <c r="B8" i="8"/>
  <c r="B9" i="8" s="1"/>
  <c r="B10" i="8" s="1"/>
  <c r="B7" i="8"/>
  <c r="C6" i="8"/>
  <c r="B6" i="8"/>
  <c r="F5" i="8"/>
  <c r="E6" i="8" s="1"/>
  <c r="E5" i="8"/>
  <c r="C10" i="7"/>
  <c r="D9" i="7"/>
  <c r="C9" i="7"/>
  <c r="C7" i="7"/>
  <c r="D6" i="7"/>
  <c r="C6" i="7"/>
  <c r="H6" i="6"/>
  <c r="H7" i="6"/>
  <c r="H8" i="6"/>
  <c r="H5" i="6"/>
  <c r="B6" i="6"/>
  <c r="B7" i="6" s="1"/>
  <c r="B8" i="6" s="1"/>
  <c r="F5" i="6"/>
  <c r="G5" i="6" s="1"/>
  <c r="E5" i="6"/>
  <c r="D5" i="6"/>
  <c r="H6" i="5"/>
  <c r="H7" i="5"/>
  <c r="H8" i="5"/>
  <c r="H9" i="5"/>
  <c r="H5" i="5"/>
  <c r="B9" i="5"/>
  <c r="B7" i="5"/>
  <c r="B8" i="5" s="1"/>
  <c r="B6" i="5"/>
  <c r="E5" i="5"/>
  <c r="D5" i="5"/>
  <c r="C10" i="4"/>
  <c r="D9" i="4"/>
  <c r="C9" i="4"/>
  <c r="C7" i="4"/>
  <c r="D6" i="4"/>
  <c r="C6" i="4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5" i="3"/>
  <c r="B11" i="3"/>
  <c r="C11" i="3"/>
  <c r="D11" i="3"/>
  <c r="E11" i="3"/>
  <c r="F11" i="3"/>
  <c r="C12" i="3" s="1"/>
  <c r="G11" i="3"/>
  <c r="H11" i="3"/>
  <c r="B12" i="3"/>
  <c r="B8" i="3"/>
  <c r="B9" i="3" s="1"/>
  <c r="B10" i="3" s="1"/>
  <c r="B7" i="3"/>
  <c r="B6" i="3"/>
  <c r="H5" i="3"/>
  <c r="F5" i="3"/>
  <c r="E5" i="3"/>
  <c r="G5" i="3" s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5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7" i="2"/>
  <c r="B6" i="2"/>
  <c r="H5" i="2"/>
  <c r="F5" i="2"/>
  <c r="E5" i="2"/>
  <c r="G5" i="2" s="1"/>
  <c r="C34" i="1"/>
  <c r="D33" i="1"/>
  <c r="C33" i="1"/>
  <c r="C31" i="1"/>
  <c r="D30" i="1"/>
  <c r="C30" i="1"/>
  <c r="C27" i="1"/>
  <c r="D26" i="1"/>
  <c r="C26" i="1"/>
  <c r="C24" i="1"/>
  <c r="D23" i="1"/>
  <c r="C23" i="1"/>
  <c r="C20" i="1"/>
  <c r="D19" i="1"/>
  <c r="C19" i="1"/>
  <c r="C17" i="1"/>
  <c r="D16" i="1"/>
  <c r="C16" i="1"/>
  <c r="G5" i="9" l="1"/>
  <c r="G5" i="8"/>
  <c r="C6" i="6"/>
  <c r="F5" i="5"/>
  <c r="F12" i="3"/>
  <c r="D12" i="3"/>
  <c r="H12" i="3" s="1"/>
  <c r="B13" i="3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D6" i="3"/>
  <c r="H6" i="3" s="1"/>
  <c r="C6" i="3"/>
  <c r="D6" i="2"/>
  <c r="C6" i="2"/>
  <c r="D6" i="9" l="1"/>
  <c r="H5" i="9"/>
  <c r="I5" i="9" s="1"/>
  <c r="D6" i="8"/>
  <c r="H5" i="8"/>
  <c r="E6" i="6"/>
  <c r="D6" i="6"/>
  <c r="C6" i="5"/>
  <c r="G5" i="5"/>
  <c r="E12" i="3"/>
  <c r="G12" i="3" s="1"/>
  <c r="E6" i="3"/>
  <c r="G6" i="3" s="1"/>
  <c r="F6" i="3"/>
  <c r="E6" i="2"/>
  <c r="G6" i="2" s="1"/>
  <c r="F6" i="2"/>
  <c r="H6" i="2"/>
  <c r="F6" i="9" l="1"/>
  <c r="E7" i="9" s="1"/>
  <c r="C7" i="9"/>
  <c r="C7" i="8"/>
  <c r="F6" i="8"/>
  <c r="E7" i="8" s="1"/>
  <c r="F6" i="6"/>
  <c r="E6" i="5"/>
  <c r="D6" i="5"/>
  <c r="D7" i="3"/>
  <c r="C7" i="3"/>
  <c r="D7" i="2"/>
  <c r="C7" i="2"/>
  <c r="G6" i="9" l="1"/>
  <c r="G6" i="8"/>
  <c r="C7" i="6"/>
  <c r="G6" i="6"/>
  <c r="F6" i="5"/>
  <c r="F7" i="3"/>
  <c r="E7" i="3"/>
  <c r="G7" i="3" s="1"/>
  <c r="H7" i="3"/>
  <c r="E7" i="2"/>
  <c r="G7" i="2" s="1"/>
  <c r="F7" i="2"/>
  <c r="H7" i="2"/>
  <c r="H6" i="9" l="1"/>
  <c r="I6" i="9" s="1"/>
  <c r="D7" i="9"/>
  <c r="H6" i="8"/>
  <c r="D7" i="8"/>
  <c r="D7" i="6"/>
  <c r="E7" i="6"/>
  <c r="F7" i="6" s="1"/>
  <c r="C7" i="5"/>
  <c r="G6" i="5"/>
  <c r="C8" i="3"/>
  <c r="D8" i="3"/>
  <c r="H8" i="3" s="1"/>
  <c r="C8" i="2"/>
  <c r="D8" i="2"/>
  <c r="H8" i="2" s="1"/>
  <c r="F7" i="9" l="1"/>
  <c r="E8" i="9" s="1"/>
  <c r="C8" i="9"/>
  <c r="C8" i="8"/>
  <c r="F7" i="8"/>
  <c r="E8" i="8" s="1"/>
  <c r="C8" i="6"/>
  <c r="G7" i="6"/>
  <c r="D7" i="5"/>
  <c r="E7" i="5"/>
  <c r="F8" i="3"/>
  <c r="E8" i="3"/>
  <c r="G8" i="3" s="1"/>
  <c r="F8" i="2"/>
  <c r="E8" i="2"/>
  <c r="G8" i="2" s="1"/>
  <c r="G7" i="9" l="1"/>
  <c r="G7" i="8"/>
  <c r="E8" i="6"/>
  <c r="D8" i="6"/>
  <c r="F7" i="5"/>
  <c r="C9" i="3"/>
  <c r="D9" i="3"/>
  <c r="H9" i="3" s="1"/>
  <c r="D9" i="2"/>
  <c r="C9" i="2"/>
  <c r="I7" i="9" l="1"/>
  <c r="H7" i="9"/>
  <c r="D8" i="9"/>
  <c r="H7" i="8"/>
  <c r="D8" i="8"/>
  <c r="F8" i="6"/>
  <c r="G8" i="6" s="1"/>
  <c r="C8" i="5"/>
  <c r="G7" i="5"/>
  <c r="E9" i="3"/>
  <c r="G9" i="3" s="1"/>
  <c r="F9" i="3"/>
  <c r="E9" i="2"/>
  <c r="G9" i="2" s="1"/>
  <c r="F9" i="2"/>
  <c r="H9" i="2"/>
  <c r="C9" i="9" l="1"/>
  <c r="F8" i="9"/>
  <c r="E9" i="9" s="1"/>
  <c r="C9" i="8"/>
  <c r="F8" i="8"/>
  <c r="E9" i="8" s="1"/>
  <c r="E8" i="5"/>
  <c r="D8" i="5"/>
  <c r="C10" i="3"/>
  <c r="D10" i="3"/>
  <c r="H10" i="3" s="1"/>
  <c r="C10" i="2"/>
  <c r="D10" i="2"/>
  <c r="H10" i="2" s="1"/>
  <c r="G8" i="9" l="1"/>
  <c r="G8" i="8"/>
  <c r="F8" i="5"/>
  <c r="F10" i="3"/>
  <c r="E10" i="3"/>
  <c r="G10" i="3" s="1"/>
  <c r="F10" i="2"/>
  <c r="E10" i="2"/>
  <c r="G10" i="2" s="1"/>
  <c r="D9" i="9" l="1"/>
  <c r="H8" i="9"/>
  <c r="I8" i="9" s="1"/>
  <c r="D9" i="8"/>
  <c r="H8" i="8"/>
  <c r="C9" i="5"/>
  <c r="G8" i="5"/>
  <c r="C11" i="2"/>
  <c r="D11" i="2"/>
  <c r="H11" i="2" s="1"/>
  <c r="F9" i="9" l="1"/>
  <c r="E10" i="9" s="1"/>
  <c r="C10" i="9"/>
  <c r="F9" i="8"/>
  <c r="E10" i="8" s="1"/>
  <c r="C10" i="8"/>
  <c r="E9" i="5"/>
  <c r="D9" i="5"/>
  <c r="F11" i="2"/>
  <c r="E11" i="2"/>
  <c r="G11" i="2" s="1"/>
  <c r="G9" i="9" l="1"/>
  <c r="G9" i="8"/>
  <c r="F9" i="5"/>
  <c r="G9" i="5" s="1"/>
  <c r="D12" i="2"/>
  <c r="C12" i="2"/>
  <c r="H9" i="9" l="1"/>
  <c r="I9" i="9" s="1"/>
  <c r="D10" i="9"/>
  <c r="H9" i="8"/>
  <c r="D10" i="8"/>
  <c r="E12" i="2"/>
  <c r="G12" i="2" s="1"/>
  <c r="F12" i="2"/>
  <c r="H12" i="2"/>
  <c r="F10" i="9" l="1"/>
  <c r="E11" i="9" s="1"/>
  <c r="C11" i="9"/>
  <c r="F10" i="8"/>
  <c r="G10" i="8" s="1"/>
  <c r="D13" i="3"/>
  <c r="C13" i="3"/>
  <c r="C13" i="2"/>
  <c r="D13" i="2"/>
  <c r="H13" i="2" s="1"/>
  <c r="G10" i="9" l="1"/>
  <c r="H10" i="8"/>
  <c r="F13" i="3"/>
  <c r="E13" i="3"/>
  <c r="G13" i="3" s="1"/>
  <c r="H13" i="3"/>
  <c r="F13" i="2"/>
  <c r="E13" i="2"/>
  <c r="G13" i="2" s="1"/>
  <c r="H10" i="9" l="1"/>
  <c r="I10" i="9" s="1"/>
  <c r="D11" i="9"/>
  <c r="D14" i="3"/>
  <c r="C14" i="3"/>
  <c r="C14" i="2"/>
  <c r="D14" i="2"/>
  <c r="H14" i="2" s="1"/>
  <c r="C12" i="9" l="1"/>
  <c r="F11" i="9"/>
  <c r="E12" i="9" s="1"/>
  <c r="F14" i="3"/>
  <c r="E14" i="3"/>
  <c r="G14" i="3" s="1"/>
  <c r="H14" i="3"/>
  <c r="E14" i="2"/>
  <c r="G14" i="2" s="1"/>
  <c r="F14" i="2"/>
  <c r="G11" i="9" l="1"/>
  <c r="D15" i="3"/>
  <c r="C15" i="3"/>
  <c r="D15" i="2"/>
  <c r="C15" i="2"/>
  <c r="D12" i="9" l="1"/>
  <c r="H11" i="9"/>
  <c r="I11" i="9" s="1"/>
  <c r="E15" i="3"/>
  <c r="G15" i="3" s="1"/>
  <c r="F15" i="3"/>
  <c r="H15" i="3"/>
  <c r="E15" i="2"/>
  <c r="G15" i="2" s="1"/>
  <c r="F15" i="2"/>
  <c r="H15" i="2"/>
  <c r="F12" i="9" l="1"/>
  <c r="D16" i="3"/>
  <c r="C16" i="3"/>
  <c r="C16" i="2"/>
  <c r="D16" i="2"/>
  <c r="H16" i="2" s="1"/>
  <c r="G12" i="9" l="1"/>
  <c r="F16" i="3"/>
  <c r="E16" i="3"/>
  <c r="G16" i="3" s="1"/>
  <c r="H16" i="3"/>
  <c r="F16" i="2"/>
  <c r="E16" i="2"/>
  <c r="G16" i="2" s="1"/>
  <c r="H12" i="9" l="1"/>
  <c r="I12" i="9" s="1"/>
  <c r="C17" i="3"/>
  <c r="D17" i="3"/>
  <c r="H17" i="3" s="1"/>
  <c r="D17" i="2"/>
  <c r="C17" i="2"/>
  <c r="F17" i="3" l="1"/>
  <c r="E17" i="3"/>
  <c r="G17" i="3" s="1"/>
  <c r="F17" i="2"/>
  <c r="E17" i="2"/>
  <c r="G17" i="2" s="1"/>
  <c r="H17" i="2"/>
  <c r="C18" i="3" l="1"/>
  <c r="D18" i="3"/>
  <c r="H18" i="3" s="1"/>
  <c r="D18" i="2"/>
  <c r="C18" i="2"/>
  <c r="E18" i="3" l="1"/>
  <c r="G18" i="3" s="1"/>
  <c r="F18" i="3"/>
  <c r="E18" i="2"/>
  <c r="G18" i="2" s="1"/>
  <c r="F18" i="2"/>
  <c r="H18" i="2"/>
  <c r="D19" i="3" l="1"/>
  <c r="C19" i="3"/>
  <c r="C19" i="2"/>
  <c r="D19" i="2"/>
  <c r="H19" i="2" s="1"/>
  <c r="F19" i="3" l="1"/>
  <c r="E19" i="3"/>
  <c r="G19" i="3" s="1"/>
  <c r="H19" i="3"/>
  <c r="F19" i="2"/>
  <c r="E19" i="2"/>
  <c r="G19" i="2" s="1"/>
  <c r="D20" i="3" l="1"/>
  <c r="C20" i="3"/>
  <c r="C20" i="2"/>
  <c r="D20" i="2"/>
  <c r="H20" i="2" s="1"/>
  <c r="F20" i="3" l="1"/>
  <c r="E20" i="3"/>
  <c r="G20" i="3" s="1"/>
  <c r="H20" i="3"/>
  <c r="F20" i="2"/>
  <c r="E20" i="2"/>
  <c r="G20" i="2" s="1"/>
  <c r="D21" i="3" l="1"/>
  <c r="C21" i="3"/>
  <c r="D21" i="2"/>
  <c r="C21" i="2"/>
  <c r="H21" i="3" l="1"/>
  <c r="E21" i="3"/>
  <c r="G21" i="3" s="1"/>
  <c r="F21" i="3"/>
  <c r="E21" i="2"/>
  <c r="G21" i="2" s="1"/>
  <c r="F21" i="2"/>
  <c r="H21" i="2"/>
  <c r="D22" i="3" l="1"/>
  <c r="C22" i="3"/>
  <c r="C22" i="2"/>
  <c r="D22" i="2"/>
  <c r="H22" i="2" s="1"/>
  <c r="E22" i="3" l="1"/>
  <c r="G22" i="3" s="1"/>
  <c r="F22" i="3"/>
  <c r="H22" i="3"/>
  <c r="F22" i="2"/>
  <c r="E22" i="2"/>
  <c r="G22" i="2" s="1"/>
  <c r="C23" i="3" l="1"/>
  <c r="D23" i="3"/>
  <c r="H23" i="3" s="1"/>
  <c r="C23" i="2"/>
  <c r="D23" i="2"/>
  <c r="H23" i="2" s="1"/>
  <c r="F23" i="3" l="1"/>
  <c r="E23" i="3"/>
  <c r="G23" i="3" s="1"/>
  <c r="F23" i="2"/>
  <c r="E23" i="2"/>
  <c r="G23" i="2" s="1"/>
  <c r="D24" i="3" l="1"/>
  <c r="C24" i="3"/>
  <c r="D24" i="2"/>
  <c r="C24" i="2"/>
  <c r="E24" i="3" l="1"/>
  <c r="G24" i="3" s="1"/>
  <c r="F24" i="3"/>
  <c r="H24" i="3"/>
  <c r="E24" i="2"/>
  <c r="G24" i="2" s="1"/>
  <c r="F24" i="2"/>
  <c r="H24" i="2"/>
  <c r="C25" i="3" l="1"/>
  <c r="D25" i="3"/>
  <c r="H25" i="3" s="1"/>
  <c r="C25" i="2"/>
  <c r="D25" i="2"/>
  <c r="H25" i="2" s="1"/>
  <c r="F25" i="3" l="1"/>
  <c r="E25" i="3"/>
  <c r="G25" i="3" s="1"/>
  <c r="F25" i="2"/>
  <c r="E25" i="2"/>
  <c r="G25" i="2" s="1"/>
</calcChain>
</file>

<file path=xl/sharedStrings.xml><?xml version="1.0" encoding="utf-8"?>
<sst xmlns="http://schemas.openxmlformats.org/spreadsheetml/2006/main" count="97" uniqueCount="37">
  <si>
    <t>MÉTODO DE BISCECCIÓN - PROBLEMA 1</t>
  </si>
  <si>
    <t>Ecuación: x³ - e^(0.8x) = 20</t>
  </si>
  <si>
    <t>PARÁMETROS:</t>
  </si>
  <si>
    <t>Tolerancia (TOL):</t>
  </si>
  <si>
    <t>Máx iteraciones:</t>
  </si>
  <si>
    <t xml:space="preserve">RAÍZ 1: </t>
  </si>
  <si>
    <t>Intervalo [3.0, 4.0]</t>
  </si>
  <si>
    <t xml:space="preserve">RAÍZ 2: </t>
  </si>
  <si>
    <t>Intervalo [7.0, 8.0]</t>
  </si>
  <si>
    <t>RESULTADOS FINALES</t>
  </si>
  <si>
    <t>Raíz</t>
  </si>
  <si>
    <t>Error</t>
  </si>
  <si>
    <t>METODO DE LA BISCECCIÓN</t>
  </si>
  <si>
    <t>RAÍZ 1:</t>
  </si>
  <si>
    <t>Iteraciones:</t>
  </si>
  <si>
    <t>RAÍZ 2:</t>
  </si>
  <si>
    <t>MÉTODO NEWTON RAPHSON</t>
  </si>
  <si>
    <t>NEWTON x₀=3.5</t>
  </si>
  <si>
    <t>NEWTON x₀=7.5</t>
  </si>
  <si>
    <t>MÉTODO DE LA SECANTE</t>
  </si>
  <si>
    <t>MÉTODO BISCECCIÓN</t>
  </si>
  <si>
    <t>a</t>
  </si>
  <si>
    <t>b</t>
  </si>
  <si>
    <t>c</t>
  </si>
  <si>
    <t>f(a)</t>
  </si>
  <si>
    <t>f(c)</t>
  </si>
  <si>
    <t>ITERACIONES</t>
  </si>
  <si>
    <t>¿se debe parar?</t>
  </si>
  <si>
    <t>MÉTODO BISECCIÓN</t>
  </si>
  <si>
    <t>RESULTADOS PROBLEMA 1</t>
  </si>
  <si>
    <t>MÉTODO DE BISCECCIÓN</t>
  </si>
  <si>
    <t>x_n</t>
  </si>
  <si>
    <t>f(x_n)</t>
  </si>
  <si>
    <t>f'(x_n)</t>
  </si>
  <si>
    <t>x_n+1</t>
  </si>
  <si>
    <t>x_n-1</t>
  </si>
  <si>
    <t>f(x_n-1)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</si>
</sst>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92E0-8C0C-4789-8960-8E69D635921D}">
  <dimension ref="B3:F34"/>
  <sheetViews>
    <sheetView tabSelected="1" workbookViewId="0">
      <selection activeCell="F31" sqref="F31"/>
    </sheetView>
  </sheetViews>
  <sheetFormatPr baseColWidth="10" defaultRowHeight="15" x14ac:dyDescent="0.25"/>
  <cols>
    <col min="2" max="2" width="24" customWidth="1"/>
    <col min="3" max="3" width="14" customWidth="1"/>
    <col min="4" max="4" width="14.42578125" customWidth="1"/>
  </cols>
  <sheetData>
    <row r="3" spans="2:6" x14ac:dyDescent="0.25">
      <c r="B3" s="15" t="s">
        <v>0</v>
      </c>
      <c r="C3" s="15"/>
      <c r="D3" s="15"/>
      <c r="E3" s="15"/>
      <c r="F3" s="4"/>
    </row>
    <row r="4" spans="2:6" x14ac:dyDescent="0.25">
      <c r="B4" s="15" t="s">
        <v>1</v>
      </c>
      <c r="C4" s="15"/>
      <c r="D4" s="15"/>
      <c r="E4" s="15"/>
      <c r="F4" s="1"/>
    </row>
    <row r="5" spans="2:6" x14ac:dyDescent="0.25">
      <c r="B5" s="2"/>
      <c r="C5" s="2"/>
      <c r="D5" s="2"/>
      <c r="E5" s="2"/>
    </row>
    <row r="6" spans="2:6" x14ac:dyDescent="0.25">
      <c r="B6" s="15" t="s">
        <v>2</v>
      </c>
      <c r="C6" s="15"/>
      <c r="D6" s="15"/>
      <c r="E6" s="2"/>
    </row>
    <row r="7" spans="2:6" x14ac:dyDescent="0.25">
      <c r="B7" s="5" t="s">
        <v>3</v>
      </c>
      <c r="C7" s="6">
        <v>9.9999999999999995E-7</v>
      </c>
      <c r="D7" s="7"/>
      <c r="E7" s="2"/>
    </row>
    <row r="8" spans="2:6" x14ac:dyDescent="0.25">
      <c r="B8" s="5" t="s">
        <v>4</v>
      </c>
      <c r="C8" s="6">
        <v>20</v>
      </c>
      <c r="D8" s="7"/>
      <c r="E8" s="2"/>
    </row>
    <row r="9" spans="2:6" x14ac:dyDescent="0.25">
      <c r="B9" s="2"/>
      <c r="C9" s="2"/>
      <c r="D9" s="2"/>
      <c r="E9" s="2"/>
    </row>
    <row r="10" spans="2:6" x14ac:dyDescent="0.25">
      <c r="B10" s="5" t="s">
        <v>5</v>
      </c>
      <c r="C10" s="16" t="s">
        <v>6</v>
      </c>
      <c r="D10" s="16"/>
      <c r="E10" s="16"/>
    </row>
    <row r="11" spans="2:6" x14ac:dyDescent="0.25">
      <c r="B11" s="5" t="s">
        <v>7</v>
      </c>
      <c r="C11" s="16" t="s">
        <v>8</v>
      </c>
      <c r="D11" s="16"/>
      <c r="E11" s="16"/>
    </row>
    <row r="12" spans="2:6" x14ac:dyDescent="0.25">
      <c r="B12" s="2"/>
      <c r="C12" s="2"/>
      <c r="D12" s="2"/>
      <c r="E12" s="2"/>
    </row>
    <row r="13" spans="2:6" x14ac:dyDescent="0.25">
      <c r="B13" s="17" t="s">
        <v>9</v>
      </c>
      <c r="C13" s="17"/>
      <c r="D13" s="17"/>
      <c r="E13" s="2"/>
    </row>
    <row r="14" spans="2:6" x14ac:dyDescent="0.25">
      <c r="B14" s="6"/>
      <c r="C14" s="6" t="s">
        <v>10</v>
      </c>
      <c r="D14" s="6" t="s">
        <v>11</v>
      </c>
      <c r="E14" s="2"/>
    </row>
    <row r="15" spans="2:6" x14ac:dyDescent="0.25">
      <c r="B15" s="15" t="s">
        <v>12</v>
      </c>
      <c r="C15" s="15"/>
      <c r="D15" s="15"/>
      <c r="E15" s="2"/>
    </row>
    <row r="16" spans="2:6" x14ac:dyDescent="0.25">
      <c r="B16" s="8" t="s">
        <v>13</v>
      </c>
      <c r="C16" s="9">
        <f>#REF!</f>
        <v>3.2082204818725586</v>
      </c>
      <c r="D16" s="9">
        <f>#REF!</f>
        <v>1.391058622601804E-5</v>
      </c>
      <c r="E16" s="2"/>
    </row>
    <row r="17" spans="2:4" x14ac:dyDescent="0.25">
      <c r="B17" s="8" t="s">
        <v>14</v>
      </c>
      <c r="C17" s="9">
        <f>COUNTIF(#REF!,"→")+1</f>
        <v>20</v>
      </c>
      <c r="D17" s="9"/>
    </row>
    <row r="18" spans="2:4" x14ac:dyDescent="0.25">
      <c r="B18" s="3"/>
      <c r="C18" s="3"/>
      <c r="D18" s="3"/>
    </row>
    <row r="19" spans="2:4" x14ac:dyDescent="0.25">
      <c r="B19" s="5" t="s">
        <v>15</v>
      </c>
      <c r="C19" s="9">
        <f>#REF!</f>
        <v>7.4898386001586914</v>
      </c>
      <c r="D19" s="10">
        <f>#REF!</f>
        <v>1.9710259152816434E-5</v>
      </c>
    </row>
    <row r="20" spans="2:4" x14ac:dyDescent="0.25">
      <c r="B20" s="5" t="s">
        <v>14</v>
      </c>
      <c r="C20" s="10">
        <f>COUNTIF(#REF!,"→")+1</f>
        <v>20</v>
      </c>
      <c r="D20" s="9"/>
    </row>
    <row r="22" spans="2:4" x14ac:dyDescent="0.25">
      <c r="B22" s="15" t="s">
        <v>16</v>
      </c>
      <c r="C22" s="15"/>
      <c r="D22" s="15"/>
    </row>
    <row r="23" spans="2:4" x14ac:dyDescent="0.25">
      <c r="B23" s="8" t="s">
        <v>17</v>
      </c>
      <c r="C23" s="9">
        <f>#REF!</f>
        <v>3.2082198020172239</v>
      </c>
      <c r="D23" s="11">
        <f>#REF!</f>
        <v>2.544719546193619E-9</v>
      </c>
    </row>
    <row r="24" spans="2:4" x14ac:dyDescent="0.25">
      <c r="B24" s="5" t="s">
        <v>14</v>
      </c>
      <c r="C24" s="9">
        <f>COUNTIF(#REF!,"→")+1</f>
        <v>4</v>
      </c>
      <c r="D24" s="9"/>
    </row>
    <row r="25" spans="2:4" x14ac:dyDescent="0.25">
      <c r="B25" s="3"/>
      <c r="C25" s="3"/>
      <c r="D25" s="3"/>
    </row>
    <row r="26" spans="2:4" x14ac:dyDescent="0.25">
      <c r="B26" s="8" t="s">
        <v>18</v>
      </c>
      <c r="C26" s="9">
        <f>#REF!</f>
        <v>7.4898387299706375</v>
      </c>
      <c r="D26" s="12">
        <f>#REF!</f>
        <v>3.5294416278475182E-9</v>
      </c>
    </row>
    <row r="27" spans="2:4" x14ac:dyDescent="0.25">
      <c r="B27" s="5" t="s">
        <v>14</v>
      </c>
      <c r="C27" s="10">
        <f>COUNTIF(#REF!,"→")+1</f>
        <v>3</v>
      </c>
      <c r="D27" s="9"/>
    </row>
    <row r="28" spans="2:4" x14ac:dyDescent="0.25">
      <c r="B28" s="3"/>
      <c r="C28" s="3"/>
      <c r="D28" s="3"/>
    </row>
    <row r="29" spans="2:4" x14ac:dyDescent="0.25">
      <c r="B29" s="15" t="s">
        <v>19</v>
      </c>
      <c r="C29" s="15"/>
      <c r="D29" s="15"/>
    </row>
    <row r="30" spans="2:4" x14ac:dyDescent="0.25">
      <c r="B30" s="8" t="s">
        <v>13</v>
      </c>
      <c r="C30" s="9">
        <f>#REF!</f>
        <v>3.208219697395827</v>
      </c>
      <c r="D30" s="11">
        <f>#REF!</f>
        <v>1.0461965249675131E-7</v>
      </c>
    </row>
    <row r="31" spans="2:4" x14ac:dyDescent="0.25">
      <c r="B31" s="8" t="s">
        <v>14</v>
      </c>
      <c r="C31" s="9">
        <f>COUNTIF(#REF!,"→")+1</f>
        <v>5</v>
      </c>
      <c r="D31" s="9"/>
    </row>
    <row r="32" spans="2:4" x14ac:dyDescent="0.25">
      <c r="B32" s="3"/>
      <c r="C32" s="3"/>
      <c r="D32" s="3"/>
    </row>
    <row r="33" spans="2:4" x14ac:dyDescent="0.25">
      <c r="B33" s="5" t="s">
        <v>15</v>
      </c>
      <c r="C33" s="9">
        <f>#REF!</f>
        <v>7.4898387301426341</v>
      </c>
      <c r="D33" s="12">
        <f>#REF!</f>
        <v>1.7199841551018835E-10</v>
      </c>
    </row>
    <row r="34" spans="2:4" x14ac:dyDescent="0.25">
      <c r="B34" s="5" t="s">
        <v>14</v>
      </c>
      <c r="C34" s="10">
        <f>COUNTIF(#REF!,"→")+1</f>
        <v>7</v>
      </c>
      <c r="D34" s="9"/>
    </row>
  </sheetData>
  <mergeCells count="9">
    <mergeCell ref="B15:D15"/>
    <mergeCell ref="B22:D22"/>
    <mergeCell ref="B29:D29"/>
    <mergeCell ref="B3:E3"/>
    <mergeCell ref="B4:E4"/>
    <mergeCell ref="B6:D6"/>
    <mergeCell ref="C10:E10"/>
    <mergeCell ref="C11:E11"/>
    <mergeCell ref="B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F71B-F9D7-404D-AC1F-C2B60436E980}">
  <dimension ref="B3:I25"/>
  <sheetViews>
    <sheetView workbookViewId="0">
      <selection activeCell="M20" sqref="M20"/>
    </sheetView>
  </sheetViews>
  <sheetFormatPr baseColWidth="10" defaultRowHeight="15" x14ac:dyDescent="0.25"/>
  <cols>
    <col min="2" max="2" width="14.85546875" customWidth="1"/>
    <col min="9" max="9" width="16.140625" customWidth="1"/>
  </cols>
  <sheetData>
    <row r="3" spans="2:9" ht="19.5" customHeight="1" x14ac:dyDescent="0.25">
      <c r="B3" s="18" t="s">
        <v>20</v>
      </c>
      <c r="C3" s="18"/>
      <c r="D3" s="18"/>
      <c r="E3" s="18"/>
      <c r="F3" s="18"/>
      <c r="G3" s="18"/>
      <c r="H3" s="18"/>
      <c r="I3" s="18"/>
    </row>
    <row r="4" spans="2:9" ht="26.25" customHeight="1" x14ac:dyDescent="0.25">
      <c r="B4" s="5" t="s">
        <v>26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11</v>
      </c>
      <c r="I4" s="5" t="s">
        <v>27</v>
      </c>
    </row>
    <row r="5" spans="2:9" x14ac:dyDescent="0.25">
      <c r="B5" s="5">
        <v>1</v>
      </c>
      <c r="C5" s="13">
        <v>3</v>
      </c>
      <c r="D5" s="13">
        <v>4</v>
      </c>
      <c r="E5" s="13">
        <f>(C5+D5)/2</f>
        <v>3.5</v>
      </c>
      <c r="F5" s="13">
        <f>C5^3 - EXP(0.8*C5) - 20</f>
        <v>-4.0231763806416048</v>
      </c>
      <c r="G5" s="13">
        <f>E5^3 - EXP(0.8*E5) - 20</f>
        <v>6.4303532289029448</v>
      </c>
      <c r="H5" s="13">
        <f>ABS(D5-C5)/2</f>
        <v>0.5</v>
      </c>
      <c r="I5" s="10" t="str">
        <f>IF(OR(ABS(G5)&lt;#REF!,H5&lt;#REF!),"Si","No")</f>
        <v>No</v>
      </c>
    </row>
    <row r="6" spans="2:9" x14ac:dyDescent="0.25">
      <c r="B6" s="5">
        <f>B5+1</f>
        <v>2</v>
      </c>
      <c r="C6" s="13">
        <f>IF(F5*G5&lt;0,C5,E5)</f>
        <v>3</v>
      </c>
      <c r="D6" s="13">
        <f>IF(F5*G5&lt;0,E5,D5)</f>
        <v>3.5</v>
      </c>
      <c r="E6" s="13">
        <f>(C6+D6)/2</f>
        <v>3.25</v>
      </c>
      <c r="F6" s="13">
        <f>C6^3 - EXP(0.8*C6) - 20</f>
        <v>-4.0231763806416048</v>
      </c>
      <c r="G6" s="13">
        <f>E6^3 - EXP(0.8*E6) - 20</f>
        <v>0.86438696499831025</v>
      </c>
      <c r="H6" s="13">
        <f>ABS(D6-C6)/2</f>
        <v>0.25</v>
      </c>
      <c r="I6" s="10" t="str">
        <f>IF(OR(ABS(G6)&lt;#REF!,H6&lt;#REF!),"Si","No")</f>
        <v>No</v>
      </c>
    </row>
    <row r="7" spans="2:9" x14ac:dyDescent="0.25">
      <c r="B7" s="5">
        <f t="shared" ref="B7:B25" si="0">B6+1</f>
        <v>3</v>
      </c>
      <c r="C7" s="13">
        <f t="shared" ref="C7:C25" si="1">IF(F6*G6&lt;0,C6,E6)</f>
        <v>3</v>
      </c>
      <c r="D7" s="13">
        <f t="shared" ref="D7:D25" si="2">IF(F6*G6&lt;0,E6,D6)</f>
        <v>3.25</v>
      </c>
      <c r="E7" s="13">
        <f t="shared" ref="E7:E25" si="3">(C7+D7)/2</f>
        <v>3.125</v>
      </c>
      <c r="F7" s="13">
        <f t="shared" ref="F7:F25" si="4">C7^3 - EXP(0.8*C7) - 20</f>
        <v>-4.0231763806416048</v>
      </c>
      <c r="G7" s="13">
        <f>E7^3 - EXP(0.8*E7) - 20</f>
        <v>-1.664915835703475</v>
      </c>
      <c r="H7" s="13">
        <f t="shared" ref="H7:H25" si="5">ABS(D7-C7)/2</f>
        <v>0.125</v>
      </c>
      <c r="I7" s="10" t="str">
        <f>IF(OR(ABS(G7)&lt;#REF!,H7&lt;#REF!),"Si","No")</f>
        <v>No</v>
      </c>
    </row>
    <row r="8" spans="2:9" x14ac:dyDescent="0.25">
      <c r="B8" s="5">
        <f t="shared" si="0"/>
        <v>4</v>
      </c>
      <c r="C8" s="13">
        <f t="shared" si="1"/>
        <v>3.125</v>
      </c>
      <c r="D8" s="13">
        <f t="shared" si="2"/>
        <v>3.25</v>
      </c>
      <c r="E8" s="13">
        <f t="shared" si="3"/>
        <v>3.1875</v>
      </c>
      <c r="F8" s="13">
        <f t="shared" si="4"/>
        <v>-1.664915835703475</v>
      </c>
      <c r="G8" s="13">
        <f>E8^3 - EXP(0.8*E8) - 20</f>
        <v>-0.42160573578803451</v>
      </c>
      <c r="H8" s="13">
        <f t="shared" si="5"/>
        <v>6.25E-2</v>
      </c>
      <c r="I8" s="10" t="str">
        <f>IF(OR(ABS(G8)&lt;#REF!,H8&lt;#REF!),"Si","No")</f>
        <v>No</v>
      </c>
    </row>
    <row r="9" spans="2:9" x14ac:dyDescent="0.25">
      <c r="B9" s="5">
        <f t="shared" si="0"/>
        <v>5</v>
      </c>
      <c r="C9" s="13">
        <f t="shared" si="1"/>
        <v>3.1875</v>
      </c>
      <c r="D9" s="13">
        <f t="shared" si="2"/>
        <v>3.25</v>
      </c>
      <c r="E9" s="13">
        <f t="shared" si="3"/>
        <v>3.21875</v>
      </c>
      <c r="F9" s="13">
        <f t="shared" si="4"/>
        <v>-0.42160573578803451</v>
      </c>
      <c r="G9" s="13">
        <f t="shared" ref="G9:G25" si="6">E9^3 - EXP(0.8*E9) - 20</f>
        <v>0.21606443330685821</v>
      </c>
      <c r="H9" s="13">
        <f t="shared" si="5"/>
        <v>3.125E-2</v>
      </c>
      <c r="I9" s="10" t="str">
        <f>IF(OR(ABS(G9)&lt;#REF!,H9&lt;#REF!),"Si","No")</f>
        <v>No</v>
      </c>
    </row>
    <row r="10" spans="2:9" x14ac:dyDescent="0.25">
      <c r="B10" s="5">
        <f t="shared" si="0"/>
        <v>6</v>
      </c>
      <c r="C10" s="13">
        <f t="shared" si="1"/>
        <v>3.1875</v>
      </c>
      <c r="D10" s="13">
        <f t="shared" si="2"/>
        <v>3.21875</v>
      </c>
      <c r="E10" s="13">
        <f t="shared" si="3"/>
        <v>3.203125</v>
      </c>
      <c r="F10" s="13">
        <f t="shared" si="4"/>
        <v>-0.42160573578803451</v>
      </c>
      <c r="G10" s="13">
        <f t="shared" si="6"/>
        <v>-0.10410353645155368</v>
      </c>
      <c r="H10" s="13">
        <f t="shared" si="5"/>
        <v>1.5625E-2</v>
      </c>
      <c r="I10" s="10" t="str">
        <f>IF(OR(ABS(G10)&lt;#REF!,H10&lt;#REF!),"Si","No")</f>
        <v>No</v>
      </c>
    </row>
    <row r="11" spans="2:9" x14ac:dyDescent="0.25">
      <c r="B11" s="5">
        <f t="shared" si="0"/>
        <v>7</v>
      </c>
      <c r="C11" s="13">
        <f t="shared" si="1"/>
        <v>3.203125</v>
      </c>
      <c r="D11" s="13">
        <f t="shared" si="2"/>
        <v>3.21875</v>
      </c>
      <c r="E11" s="13">
        <f t="shared" si="3"/>
        <v>3.2109375</v>
      </c>
      <c r="F11" s="13">
        <f t="shared" si="4"/>
        <v>-0.10410353645155368</v>
      </c>
      <c r="G11" s="13">
        <f t="shared" si="6"/>
        <v>5.5647382134296208E-2</v>
      </c>
      <c r="H11" s="13">
        <f t="shared" si="5"/>
        <v>7.8125E-3</v>
      </c>
      <c r="I11" s="10" t="str">
        <f>IF(OR(ABS(G11)&lt;#REF!,H11&lt;#REF!),"Si","No")</f>
        <v>No</v>
      </c>
    </row>
    <row r="12" spans="2:9" x14ac:dyDescent="0.25">
      <c r="B12" s="5">
        <f t="shared" si="0"/>
        <v>8</v>
      </c>
      <c r="C12" s="13">
        <f t="shared" si="1"/>
        <v>3.203125</v>
      </c>
      <c r="D12" s="13">
        <f t="shared" si="2"/>
        <v>3.2109375</v>
      </c>
      <c r="E12" s="13">
        <f t="shared" si="3"/>
        <v>3.20703125</v>
      </c>
      <c r="F12" s="13">
        <f t="shared" si="4"/>
        <v>-0.10410353645155368</v>
      </c>
      <c r="G12" s="13">
        <f t="shared" si="6"/>
        <v>-2.4311363882567605E-2</v>
      </c>
      <c r="H12" s="13">
        <f t="shared" si="5"/>
        <v>3.90625E-3</v>
      </c>
      <c r="I12" s="10" t="str">
        <f>IF(OR(ABS(G12)&lt;#REF!,H12&lt;#REF!),"Si","No")</f>
        <v>No</v>
      </c>
    </row>
    <row r="13" spans="2:9" x14ac:dyDescent="0.25">
      <c r="B13" s="5">
        <f t="shared" si="0"/>
        <v>9</v>
      </c>
      <c r="C13" s="13">
        <f t="shared" si="1"/>
        <v>3.20703125</v>
      </c>
      <c r="D13" s="13">
        <f t="shared" si="2"/>
        <v>3.2109375</v>
      </c>
      <c r="E13" s="13">
        <f t="shared" si="3"/>
        <v>3.208984375</v>
      </c>
      <c r="F13" s="13">
        <f t="shared" si="4"/>
        <v>-2.4311363882567605E-2</v>
      </c>
      <c r="G13" s="13">
        <f t="shared" si="6"/>
        <v>1.5647189915139137E-2</v>
      </c>
      <c r="H13" s="13">
        <f t="shared" si="5"/>
        <v>1.953125E-3</v>
      </c>
      <c r="I13" s="10" t="str">
        <f>IF(OR(ABS(G13)&lt;#REF!,H13&lt;#REF!),"Si","No")</f>
        <v>No</v>
      </c>
    </row>
    <row r="14" spans="2:9" x14ac:dyDescent="0.25">
      <c r="B14" s="5">
        <f t="shared" si="0"/>
        <v>10</v>
      </c>
      <c r="C14" s="13">
        <f t="shared" si="1"/>
        <v>3.20703125</v>
      </c>
      <c r="D14" s="13">
        <f t="shared" si="2"/>
        <v>3.208984375</v>
      </c>
      <c r="E14" s="13">
        <f t="shared" si="3"/>
        <v>3.2080078125</v>
      </c>
      <c r="F14" s="13">
        <f t="shared" si="4"/>
        <v>-2.4311363882567605E-2</v>
      </c>
      <c r="G14" s="13">
        <f t="shared" si="6"/>
        <v>-4.3372920982065466E-3</v>
      </c>
      <c r="H14" s="13">
        <f t="shared" si="5"/>
        <v>9.765625E-4</v>
      </c>
      <c r="I14" s="10" t="str">
        <f>IF(OR(ABS(G14)&lt;#REF!,H14&lt;#REF!),"Si","No")</f>
        <v>No</v>
      </c>
    </row>
    <row r="15" spans="2:9" x14ac:dyDescent="0.25">
      <c r="B15" s="5">
        <f t="shared" si="0"/>
        <v>11</v>
      </c>
      <c r="C15" s="13">
        <f t="shared" si="1"/>
        <v>3.2080078125</v>
      </c>
      <c r="D15" s="13">
        <f t="shared" si="2"/>
        <v>3.208984375</v>
      </c>
      <c r="E15" s="13">
        <f t="shared" si="3"/>
        <v>3.20849609375</v>
      </c>
      <c r="F15" s="13">
        <f t="shared" si="4"/>
        <v>-4.3372920982065466E-3</v>
      </c>
      <c r="G15" s="13">
        <f t="shared" si="6"/>
        <v>5.6536476686304127E-3</v>
      </c>
      <c r="H15" s="13">
        <f t="shared" si="5"/>
        <v>4.8828125E-4</v>
      </c>
      <c r="I15" s="10" t="str">
        <f>IF(OR(ABS(G15)&lt;#REF!,H15&lt;#REF!),"Si","No")</f>
        <v>No</v>
      </c>
    </row>
    <row r="16" spans="2:9" x14ac:dyDescent="0.25">
      <c r="B16" s="5">
        <f t="shared" si="0"/>
        <v>12</v>
      </c>
      <c r="C16" s="13">
        <f t="shared" si="1"/>
        <v>3.2080078125</v>
      </c>
      <c r="D16" s="13">
        <f t="shared" si="2"/>
        <v>3.20849609375</v>
      </c>
      <c r="E16" s="13">
        <f t="shared" si="3"/>
        <v>3.208251953125</v>
      </c>
      <c r="F16" s="13">
        <f t="shared" si="4"/>
        <v>-4.3372920982065466E-3</v>
      </c>
      <c r="G16" s="13">
        <f t="shared" si="6"/>
        <v>6.5785247038974148E-4</v>
      </c>
      <c r="H16" s="13">
        <f t="shared" si="5"/>
        <v>2.44140625E-4</v>
      </c>
      <c r="I16" s="10" t="str">
        <f>IF(OR(ABS(G16)&lt;#REF!,H16&lt;#REF!),"Si","No")</f>
        <v>No</v>
      </c>
    </row>
    <row r="17" spans="2:9" x14ac:dyDescent="0.25">
      <c r="B17" s="5">
        <f t="shared" si="0"/>
        <v>13</v>
      </c>
      <c r="C17" s="13">
        <f t="shared" si="1"/>
        <v>3.2080078125</v>
      </c>
      <c r="D17" s="13">
        <f t="shared" si="2"/>
        <v>3.208251953125</v>
      </c>
      <c r="E17" s="13">
        <f t="shared" si="3"/>
        <v>3.2081298828125</v>
      </c>
      <c r="F17" s="13">
        <f t="shared" si="4"/>
        <v>-4.3372920982065466E-3</v>
      </c>
      <c r="G17" s="13">
        <f t="shared" si="6"/>
        <v>-1.8398011432196881E-3</v>
      </c>
      <c r="H17" s="13">
        <f t="shared" si="5"/>
        <v>1.220703125E-4</v>
      </c>
      <c r="I17" s="10" t="str">
        <f>IF(OR(ABS(G17)&lt;#REF!,H17&lt;#REF!),"Si","No")</f>
        <v>No</v>
      </c>
    </row>
    <row r="18" spans="2:9" x14ac:dyDescent="0.25">
      <c r="B18" s="5">
        <f t="shared" si="0"/>
        <v>14</v>
      </c>
      <c r="C18" s="13">
        <f t="shared" si="1"/>
        <v>3.2081298828125</v>
      </c>
      <c r="D18" s="13">
        <f t="shared" si="2"/>
        <v>3.208251953125</v>
      </c>
      <c r="E18" s="13">
        <f t="shared" si="3"/>
        <v>3.20819091796875</v>
      </c>
      <c r="F18" s="13">
        <f t="shared" si="4"/>
        <v>-1.8398011432196881E-3</v>
      </c>
      <c r="G18" s="13">
        <f t="shared" si="6"/>
        <v>-5.9099466866285866E-4</v>
      </c>
      <c r="H18" s="13">
        <f t="shared" si="5"/>
        <v>6.103515625E-5</v>
      </c>
      <c r="I18" s="10" t="str">
        <f>IF(OR(ABS(G18)&lt;#REF!,H18&lt;#REF!),"Si","No")</f>
        <v>No</v>
      </c>
    </row>
    <row r="19" spans="2:9" x14ac:dyDescent="0.25">
      <c r="B19" s="5">
        <f t="shared" si="0"/>
        <v>15</v>
      </c>
      <c r="C19" s="13">
        <f t="shared" si="1"/>
        <v>3.20819091796875</v>
      </c>
      <c r="D19" s="13">
        <f t="shared" si="2"/>
        <v>3.208251953125</v>
      </c>
      <c r="E19" s="13">
        <f t="shared" si="3"/>
        <v>3.208221435546875</v>
      </c>
      <c r="F19" s="13">
        <f t="shared" si="4"/>
        <v>-5.9099466866285866E-4</v>
      </c>
      <c r="G19" s="13">
        <f t="shared" si="6"/>
        <v>3.3423817811240042E-5</v>
      </c>
      <c r="H19" s="13">
        <f t="shared" si="5"/>
        <v>3.0517578125E-5</v>
      </c>
      <c r="I19" s="10" t="str">
        <f>IF(OR(ABS(G19)&lt;#REF!,H19&lt;#REF!),"Si","No")</f>
        <v>No</v>
      </c>
    </row>
    <row r="20" spans="2:9" x14ac:dyDescent="0.25">
      <c r="B20" s="5">
        <f t="shared" si="0"/>
        <v>16</v>
      </c>
      <c r="C20" s="13">
        <f t="shared" si="1"/>
        <v>3.20819091796875</v>
      </c>
      <c r="D20" s="13">
        <f t="shared" si="2"/>
        <v>3.208221435546875</v>
      </c>
      <c r="E20" s="13">
        <f t="shared" si="3"/>
        <v>3.2082061767578125</v>
      </c>
      <c r="F20" s="13">
        <f t="shared" si="4"/>
        <v>-5.9099466866285866E-4</v>
      </c>
      <c r="G20" s="13">
        <f t="shared" si="6"/>
        <v>-2.7878669619951779E-4</v>
      </c>
      <c r="H20" s="13">
        <f t="shared" si="5"/>
        <v>1.52587890625E-5</v>
      </c>
      <c r="I20" s="10" t="str">
        <f>IF(OR(ABS(G20)&lt;#REF!,H20&lt;#REF!),"Si","No")</f>
        <v>No</v>
      </c>
    </row>
    <row r="21" spans="2:9" x14ac:dyDescent="0.25">
      <c r="B21" s="5">
        <f t="shared" si="0"/>
        <v>17</v>
      </c>
      <c r="C21" s="13">
        <f t="shared" si="1"/>
        <v>3.2082061767578125</v>
      </c>
      <c r="D21" s="13">
        <f t="shared" si="2"/>
        <v>3.208221435546875</v>
      </c>
      <c r="E21" s="13">
        <f t="shared" si="3"/>
        <v>3.2082138061523438</v>
      </c>
      <c r="F21" s="13">
        <f t="shared" si="4"/>
        <v>-2.7878669619951779E-4</v>
      </c>
      <c r="G21" s="13">
        <f t="shared" si="6"/>
        <v>-1.2268175688490146E-4</v>
      </c>
      <c r="H21" s="13">
        <f t="shared" si="5"/>
        <v>7.62939453125E-6</v>
      </c>
      <c r="I21" s="10" t="str">
        <f>IF(OR(ABS(G21)&lt;#REF!,H21&lt;#REF!),"Si","No")</f>
        <v>No</v>
      </c>
    </row>
    <row r="22" spans="2:9" x14ac:dyDescent="0.25">
      <c r="B22" s="5">
        <f t="shared" si="0"/>
        <v>18</v>
      </c>
      <c r="C22" s="13">
        <f t="shared" si="1"/>
        <v>3.2082138061523438</v>
      </c>
      <c r="D22" s="13">
        <f t="shared" si="2"/>
        <v>3.208221435546875</v>
      </c>
      <c r="E22" s="13">
        <f t="shared" si="3"/>
        <v>3.2082176208496094</v>
      </c>
      <c r="F22" s="13">
        <f t="shared" si="4"/>
        <v>-1.2268175688490146E-4</v>
      </c>
      <c r="G22" s="13">
        <f t="shared" si="6"/>
        <v>-4.4629048957744999E-5</v>
      </c>
      <c r="H22" s="13">
        <f t="shared" si="5"/>
        <v>3.814697265625E-6</v>
      </c>
      <c r="I22" s="10" t="str">
        <f>IF(OR(ABS(G22)&lt;#REF!,H22&lt;#REF!),"Si","No")</f>
        <v>No</v>
      </c>
    </row>
    <row r="23" spans="2:9" x14ac:dyDescent="0.25">
      <c r="B23" s="5">
        <f t="shared" si="0"/>
        <v>19</v>
      </c>
      <c r="C23" s="13">
        <f t="shared" si="1"/>
        <v>3.2082176208496094</v>
      </c>
      <c r="D23" s="13">
        <f t="shared" si="2"/>
        <v>3.208221435546875</v>
      </c>
      <c r="E23" s="13">
        <f t="shared" si="3"/>
        <v>3.2082195281982422</v>
      </c>
      <c r="F23" s="13">
        <f t="shared" si="4"/>
        <v>-4.4629048957744999E-5</v>
      </c>
      <c r="G23" s="13">
        <f t="shared" si="6"/>
        <v>-5.6026354293692293E-6</v>
      </c>
      <c r="H23" s="13">
        <f t="shared" si="5"/>
        <v>1.9073486328125E-6</v>
      </c>
      <c r="I23" s="10" t="str">
        <f>IF(OR(ABS(G23)&lt;#REF!,H23&lt;#REF!),"Si","No")</f>
        <v>No</v>
      </c>
    </row>
    <row r="24" spans="2:9" x14ac:dyDescent="0.25">
      <c r="B24" s="5">
        <f t="shared" si="0"/>
        <v>20</v>
      </c>
      <c r="C24" s="13">
        <f t="shared" si="1"/>
        <v>3.2082195281982422</v>
      </c>
      <c r="D24" s="13">
        <f t="shared" si="2"/>
        <v>3.208221435546875</v>
      </c>
      <c r="E24" s="13">
        <f t="shared" si="3"/>
        <v>3.2082204818725586</v>
      </c>
      <c r="F24" s="13">
        <f t="shared" si="4"/>
        <v>-5.6026354293692293E-6</v>
      </c>
      <c r="G24" s="13">
        <f t="shared" si="6"/>
        <v>1.391058622601804E-5</v>
      </c>
      <c r="H24" s="13">
        <f t="shared" si="5"/>
        <v>9.5367431640625E-7</v>
      </c>
      <c r="I24" s="10" t="str">
        <f>IF(OR(ABS(G24)&lt;#REF!,H24&lt;#REF!),"Si","No")</f>
        <v>Si</v>
      </c>
    </row>
    <row r="25" spans="2:9" x14ac:dyDescent="0.25">
      <c r="B25" s="5">
        <f t="shared" si="0"/>
        <v>21</v>
      </c>
      <c r="C25" s="13">
        <f t="shared" si="1"/>
        <v>3.2082195281982422</v>
      </c>
      <c r="D25" s="13">
        <f t="shared" si="2"/>
        <v>3.2082204818725586</v>
      </c>
      <c r="E25" s="13">
        <f t="shared" si="3"/>
        <v>3.2082200050354004</v>
      </c>
      <c r="F25" s="13">
        <f t="shared" si="4"/>
        <v>-5.6026354293692293E-6</v>
      </c>
      <c r="G25" s="13">
        <f t="shared" si="6"/>
        <v>4.1539741566509747E-6</v>
      </c>
      <c r="H25" s="13">
        <f t="shared" si="5"/>
        <v>4.76837158203125E-7</v>
      </c>
      <c r="I25" s="10" t="str">
        <f>IF(OR(ABS(G25)&lt;#REF!,H25&lt;#REF!),"Si","No")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E26E-9C37-4D43-A0E5-539A32C53DEA}">
  <dimension ref="B3:I25"/>
  <sheetViews>
    <sheetView workbookViewId="0">
      <selection activeCell="K23" sqref="K23"/>
    </sheetView>
  </sheetViews>
  <sheetFormatPr baseColWidth="10" defaultRowHeight="15" x14ac:dyDescent="0.25"/>
  <cols>
    <col min="2" max="2" width="13.85546875" customWidth="1"/>
    <col min="9" max="9" width="16" customWidth="1"/>
  </cols>
  <sheetData>
    <row r="3" spans="2:9" ht="20.25" customHeight="1" x14ac:dyDescent="0.25">
      <c r="B3" s="18" t="s">
        <v>28</v>
      </c>
      <c r="C3" s="18"/>
      <c r="D3" s="18"/>
      <c r="E3" s="18"/>
      <c r="F3" s="18"/>
      <c r="G3" s="18"/>
      <c r="H3" s="18"/>
      <c r="I3" s="18"/>
    </row>
    <row r="4" spans="2:9" ht="26.25" customHeight="1" x14ac:dyDescent="0.25">
      <c r="B4" s="5" t="s">
        <v>26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11</v>
      </c>
      <c r="I4" s="5" t="s">
        <v>27</v>
      </c>
    </row>
    <row r="5" spans="2:9" x14ac:dyDescent="0.25">
      <c r="B5" s="8">
        <v>1</v>
      </c>
      <c r="C5" s="9">
        <v>7</v>
      </c>
      <c r="D5" s="9">
        <v>8</v>
      </c>
      <c r="E5" s="9">
        <f>(C5+D5)/2</f>
        <v>7.5</v>
      </c>
      <c r="F5" s="9">
        <f>C5^3 - EXP(0.8*C5) - 20</f>
        <v>52.573592573847236</v>
      </c>
      <c r="G5" s="9">
        <f>E5^3 - EXP(0.8*E5) - 20</f>
        <v>-1.5537934927351102</v>
      </c>
      <c r="H5" s="9">
        <f>ABS(D5-C5)/2</f>
        <v>0.5</v>
      </c>
      <c r="I5" s="9" t="str">
        <f>IF(OR(ABS(G5)&lt;=#REF!,H5&lt;=#REF!),"Si","No")</f>
        <v>No</v>
      </c>
    </row>
    <row r="6" spans="2:9" x14ac:dyDescent="0.25">
      <c r="B6" s="5">
        <f>B5+1</f>
        <v>2</v>
      </c>
      <c r="C6" s="9">
        <f>IF(F5*G5&lt;0,C5,E5)</f>
        <v>7</v>
      </c>
      <c r="D6" s="9">
        <f>IF(F5*G5&lt;0,E5,D5)</f>
        <v>7.5</v>
      </c>
      <c r="E6" s="9">
        <f>(C6+D6)/2</f>
        <v>7.25</v>
      </c>
      <c r="F6" s="9">
        <f>C6^3 - EXP(0.8*C6) - 20</f>
        <v>52.573592573847236</v>
      </c>
      <c r="G6" s="9">
        <f>E6^3 - EXP(0.8*E6) - 20</f>
        <v>30.778565090351094</v>
      </c>
      <c r="H6" s="9">
        <f>ABS(D6-C6)/2</f>
        <v>0.25</v>
      </c>
      <c r="I6" s="9" t="str">
        <f>IF(OR(ABS(G6)&lt;=#REF!,H6&lt;=#REF!),"Si","No")</f>
        <v>No</v>
      </c>
    </row>
    <row r="7" spans="2:9" x14ac:dyDescent="0.25">
      <c r="B7" s="5">
        <f t="shared" ref="B7:B25" si="0">B6+1</f>
        <v>3</v>
      </c>
      <c r="C7" s="9">
        <f t="shared" ref="C7:C25" si="1">IF(F6*G6&lt;0,C6,E6)</f>
        <v>7.25</v>
      </c>
      <c r="D7" s="9">
        <f t="shared" ref="D7:D25" si="2">IF(F6*G6&lt;0,E6,D6)</f>
        <v>7.5</v>
      </c>
      <c r="E7" s="9">
        <f t="shared" ref="E7:E25" si="3">(C7+D7)/2</f>
        <v>7.375</v>
      </c>
      <c r="F7" s="9">
        <f t="shared" ref="F7:F25" si="4">C7^3 - EXP(0.8*C7) - 20</f>
        <v>30.778565090351094</v>
      </c>
      <c r="G7" s="9">
        <f t="shared" ref="G7:G25" si="5">E7^3 - EXP(0.8*E7) - 20</f>
        <v>16.093391509671108</v>
      </c>
      <c r="H7" s="9">
        <f t="shared" ref="H7:H25" si="6">ABS(D7-C7)/2</f>
        <v>0.125</v>
      </c>
      <c r="I7" s="9" t="str">
        <f>IF(OR(ABS(G7)&lt;=#REF!,H7&lt;=#REF!),"Si","No")</f>
        <v>No</v>
      </c>
    </row>
    <row r="8" spans="2:9" x14ac:dyDescent="0.25">
      <c r="B8" s="5">
        <f t="shared" si="0"/>
        <v>4</v>
      </c>
      <c r="C8" s="9">
        <f t="shared" si="1"/>
        <v>7.375</v>
      </c>
      <c r="D8" s="9">
        <f t="shared" si="2"/>
        <v>7.5</v>
      </c>
      <c r="E8" s="9">
        <f t="shared" si="3"/>
        <v>7.4375</v>
      </c>
      <c r="F8" s="9">
        <f t="shared" si="4"/>
        <v>16.093391509671108</v>
      </c>
      <c r="G8" s="9">
        <f t="shared" si="5"/>
        <v>7.6624324232631125</v>
      </c>
      <c r="H8" s="9">
        <f t="shared" si="6"/>
        <v>6.25E-2</v>
      </c>
      <c r="I8" s="9" t="str">
        <f>IF(OR(ABS(G8)&lt;=#REF!,H8&lt;=#REF!),"Si","No")</f>
        <v>No</v>
      </c>
    </row>
    <row r="9" spans="2:9" x14ac:dyDescent="0.25">
      <c r="B9" s="5">
        <f t="shared" si="0"/>
        <v>5</v>
      </c>
      <c r="C9" s="9">
        <f t="shared" si="1"/>
        <v>7.4375</v>
      </c>
      <c r="D9" s="9">
        <f t="shared" si="2"/>
        <v>7.5</v>
      </c>
      <c r="E9" s="9">
        <f t="shared" si="3"/>
        <v>7.46875</v>
      </c>
      <c r="F9" s="9">
        <f t="shared" si="4"/>
        <v>7.6624324232631125</v>
      </c>
      <c r="G9" s="9">
        <f t="shared" si="5"/>
        <v>3.1554035475757587</v>
      </c>
      <c r="H9" s="9">
        <f t="shared" si="6"/>
        <v>3.125E-2</v>
      </c>
      <c r="I9" s="9" t="str">
        <f>IF(OR(ABS(G9)&lt;=#REF!,H9&lt;=#REF!),"Si","No")</f>
        <v>No</v>
      </c>
    </row>
    <row r="10" spans="2:9" x14ac:dyDescent="0.25">
      <c r="B10" s="5">
        <f t="shared" si="0"/>
        <v>6</v>
      </c>
      <c r="C10" s="9">
        <f t="shared" si="1"/>
        <v>7.46875</v>
      </c>
      <c r="D10" s="9">
        <f t="shared" si="2"/>
        <v>7.5</v>
      </c>
      <c r="E10" s="9">
        <f t="shared" si="3"/>
        <v>7.484375</v>
      </c>
      <c r="F10" s="9">
        <f t="shared" si="4"/>
        <v>3.1554035475757587</v>
      </c>
      <c r="G10" s="9">
        <f t="shared" si="5"/>
        <v>0.8264500659092846</v>
      </c>
      <c r="H10" s="9">
        <f t="shared" si="6"/>
        <v>1.5625E-2</v>
      </c>
      <c r="I10" s="9" t="str">
        <f>IF(OR(ABS(G10)&lt;=#REF!,H10&lt;=#REF!),"Si","No")</f>
        <v>No</v>
      </c>
    </row>
    <row r="11" spans="2:9" x14ac:dyDescent="0.25">
      <c r="B11" s="5">
        <f t="shared" si="0"/>
        <v>7</v>
      </c>
      <c r="C11" s="9">
        <f t="shared" si="1"/>
        <v>7.484375</v>
      </c>
      <c r="D11" s="9">
        <f t="shared" si="2"/>
        <v>7.5</v>
      </c>
      <c r="E11" s="9">
        <f t="shared" si="3"/>
        <v>7.4921875</v>
      </c>
      <c r="F11" s="9">
        <f t="shared" si="4"/>
        <v>0.8264500659092846</v>
      </c>
      <c r="G11" s="9">
        <f t="shared" si="5"/>
        <v>-0.35721317290773413</v>
      </c>
      <c r="H11" s="9">
        <f t="shared" si="6"/>
        <v>7.8125E-3</v>
      </c>
      <c r="I11" s="9" t="str">
        <f>IF(OR(ABS(G11)&lt;=#REF!,H11&lt;=#REF!),"Si","No")</f>
        <v>No</v>
      </c>
    </row>
    <row r="12" spans="2:9" x14ac:dyDescent="0.25">
      <c r="B12" s="5">
        <f t="shared" si="0"/>
        <v>8</v>
      </c>
      <c r="C12" s="9">
        <f t="shared" si="1"/>
        <v>7.484375</v>
      </c>
      <c r="D12" s="9">
        <f t="shared" si="2"/>
        <v>7.4921875</v>
      </c>
      <c r="E12" s="9">
        <f t="shared" si="3"/>
        <v>7.48828125</v>
      </c>
      <c r="F12" s="9">
        <f t="shared" si="4"/>
        <v>0.8264500659092846</v>
      </c>
      <c r="G12" s="9">
        <f t="shared" si="5"/>
        <v>0.23622714772449172</v>
      </c>
      <c r="H12" s="9">
        <f t="shared" si="6"/>
        <v>3.90625E-3</v>
      </c>
      <c r="I12" s="9" t="str">
        <f>IF(OR(ABS(G12)&lt;=#REF!,H12&lt;=#REF!),"Si","No")</f>
        <v>No</v>
      </c>
    </row>
    <row r="13" spans="2:9" x14ac:dyDescent="0.25">
      <c r="B13" s="5">
        <f t="shared" si="0"/>
        <v>9</v>
      </c>
      <c r="C13" s="9">
        <f t="shared" si="1"/>
        <v>7.48828125</v>
      </c>
      <c r="D13" s="9">
        <f t="shared" si="2"/>
        <v>7.4921875</v>
      </c>
      <c r="E13" s="9">
        <f t="shared" si="3"/>
        <v>7.490234375</v>
      </c>
      <c r="F13" s="9">
        <f t="shared" si="4"/>
        <v>0.23622714772449172</v>
      </c>
      <c r="G13" s="9">
        <f t="shared" si="5"/>
        <v>-6.0090097039847024E-2</v>
      </c>
      <c r="H13" s="9">
        <f t="shared" si="6"/>
        <v>1.953125E-3</v>
      </c>
      <c r="I13" s="9" t="str">
        <f>IF(OR(ABS(G13)&lt;=#REF!,H13&lt;=#REF!),"Si","No")</f>
        <v>No</v>
      </c>
    </row>
    <row r="14" spans="2:9" x14ac:dyDescent="0.25">
      <c r="B14" s="5">
        <f t="shared" si="0"/>
        <v>10</v>
      </c>
      <c r="C14" s="9">
        <f t="shared" si="1"/>
        <v>7.48828125</v>
      </c>
      <c r="D14" s="9">
        <f t="shared" si="2"/>
        <v>7.490234375</v>
      </c>
      <c r="E14" s="9">
        <f t="shared" si="3"/>
        <v>7.4892578125</v>
      </c>
      <c r="F14" s="9">
        <f t="shared" si="4"/>
        <v>0.23622714772449172</v>
      </c>
      <c r="G14" s="9">
        <f t="shared" si="5"/>
        <v>8.8169161606231228E-2</v>
      </c>
      <c r="H14" s="9">
        <f t="shared" si="6"/>
        <v>9.765625E-4</v>
      </c>
      <c r="I14" s="9" t="str">
        <f>IF(OR(ABS(G14)&lt;=#REF!,H14&lt;=#REF!),"Si","No")</f>
        <v>No</v>
      </c>
    </row>
    <row r="15" spans="2:9" x14ac:dyDescent="0.25">
      <c r="B15" s="5">
        <f t="shared" si="0"/>
        <v>11</v>
      </c>
      <c r="C15" s="9">
        <f t="shared" si="1"/>
        <v>7.4892578125</v>
      </c>
      <c r="D15" s="9">
        <f t="shared" si="2"/>
        <v>7.490234375</v>
      </c>
      <c r="E15" s="9">
        <f t="shared" si="3"/>
        <v>7.48974609375</v>
      </c>
      <c r="F15" s="9">
        <f t="shared" si="4"/>
        <v>8.8169161606231228E-2</v>
      </c>
      <c r="G15" s="9">
        <f t="shared" si="5"/>
        <v>1.406470292135964E-2</v>
      </c>
      <c r="H15" s="9">
        <f t="shared" si="6"/>
        <v>4.8828125E-4</v>
      </c>
      <c r="I15" s="9" t="str">
        <f>IF(OR(ABS(G15)&lt;=#REF!,H15&lt;=#REF!),"Si","No")</f>
        <v>No</v>
      </c>
    </row>
    <row r="16" spans="2:9" x14ac:dyDescent="0.25">
      <c r="B16" s="5">
        <f t="shared" si="0"/>
        <v>12</v>
      </c>
      <c r="C16" s="9">
        <f t="shared" si="1"/>
        <v>7.48974609375</v>
      </c>
      <c r="D16" s="9">
        <f t="shared" si="2"/>
        <v>7.490234375</v>
      </c>
      <c r="E16" s="9">
        <f t="shared" si="3"/>
        <v>7.489990234375</v>
      </c>
      <c r="F16" s="9">
        <f t="shared" si="4"/>
        <v>1.406470292135964E-2</v>
      </c>
      <c r="G16" s="9">
        <f t="shared" si="5"/>
        <v>-2.300640295266021E-2</v>
      </c>
      <c r="H16" s="9">
        <f t="shared" si="6"/>
        <v>2.44140625E-4</v>
      </c>
      <c r="I16" s="9" t="str">
        <f>IF(OR(ABS(G16)&lt;=#REF!,H16&lt;=#REF!),"Si","No")</f>
        <v>No</v>
      </c>
    </row>
    <row r="17" spans="2:9" x14ac:dyDescent="0.25">
      <c r="B17" s="5">
        <f t="shared" si="0"/>
        <v>13</v>
      </c>
      <c r="C17" s="9">
        <f t="shared" si="1"/>
        <v>7.48974609375</v>
      </c>
      <c r="D17" s="9">
        <f t="shared" si="2"/>
        <v>7.489990234375</v>
      </c>
      <c r="E17" s="9">
        <f t="shared" si="3"/>
        <v>7.4898681640625</v>
      </c>
      <c r="F17" s="9">
        <f t="shared" si="4"/>
        <v>1.406470292135964E-2</v>
      </c>
      <c r="G17" s="9">
        <f t="shared" si="5"/>
        <v>-4.4692766700791253E-3</v>
      </c>
      <c r="H17" s="9">
        <f t="shared" si="6"/>
        <v>1.220703125E-4</v>
      </c>
      <c r="I17" s="9" t="str">
        <f>IF(OR(ABS(G17)&lt;=#REF!,H17&lt;=#REF!),"Si","No")</f>
        <v>No</v>
      </c>
    </row>
    <row r="18" spans="2:9" x14ac:dyDescent="0.25">
      <c r="B18" s="5">
        <f t="shared" si="0"/>
        <v>14</v>
      </c>
      <c r="C18" s="9">
        <f t="shared" si="1"/>
        <v>7.48974609375</v>
      </c>
      <c r="D18" s="9">
        <f t="shared" si="2"/>
        <v>7.4898681640625</v>
      </c>
      <c r="E18" s="9">
        <f t="shared" si="3"/>
        <v>7.48980712890625</v>
      </c>
      <c r="F18" s="9">
        <f t="shared" si="4"/>
        <v>1.406470292135964E-2</v>
      </c>
      <c r="G18" s="9">
        <f t="shared" si="5"/>
        <v>4.7981064394662098E-3</v>
      </c>
      <c r="H18" s="9">
        <f t="shared" si="6"/>
        <v>6.103515625E-5</v>
      </c>
      <c r="I18" s="9" t="str">
        <f>IF(OR(ABS(G18)&lt;=#REF!,H18&lt;=#REF!),"Si","No")</f>
        <v>No</v>
      </c>
    </row>
    <row r="19" spans="2:9" x14ac:dyDescent="0.25">
      <c r="B19" s="5">
        <f t="shared" si="0"/>
        <v>15</v>
      </c>
      <c r="C19" s="9">
        <f t="shared" si="1"/>
        <v>7.48980712890625</v>
      </c>
      <c r="D19" s="9">
        <f t="shared" si="2"/>
        <v>7.4898681640625</v>
      </c>
      <c r="E19" s="9">
        <f t="shared" si="3"/>
        <v>7.489837646484375</v>
      </c>
      <c r="F19" s="9">
        <f t="shared" si="4"/>
        <v>4.7981064394662098E-3</v>
      </c>
      <c r="G19" s="9">
        <f t="shared" si="5"/>
        <v>1.6451321619115333E-4</v>
      </c>
      <c r="H19" s="9">
        <f t="shared" si="6"/>
        <v>3.0517578125E-5</v>
      </c>
      <c r="I19" s="9" t="str">
        <f>IF(OR(ABS(G19)&lt;=#REF!,H19&lt;=#REF!),"Si","No")</f>
        <v>No</v>
      </c>
    </row>
    <row r="20" spans="2:9" x14ac:dyDescent="0.25">
      <c r="B20" s="5">
        <f t="shared" si="0"/>
        <v>16</v>
      </c>
      <c r="C20" s="9">
        <f t="shared" si="1"/>
        <v>7.489837646484375</v>
      </c>
      <c r="D20" s="9">
        <f t="shared" si="2"/>
        <v>7.4898681640625</v>
      </c>
      <c r="E20" s="9">
        <f t="shared" si="3"/>
        <v>7.4898529052734375</v>
      </c>
      <c r="F20" s="9">
        <f t="shared" si="4"/>
        <v>1.6451321619115333E-4</v>
      </c>
      <c r="G20" s="9">
        <f t="shared" si="5"/>
        <v>-2.1523571436432576E-3</v>
      </c>
      <c r="H20" s="9">
        <f t="shared" si="6"/>
        <v>1.52587890625E-5</v>
      </c>
      <c r="I20" s="9" t="str">
        <f>IF(OR(ABS(G20)&lt;=#REF!,H20&lt;=#REF!),"Si","No")</f>
        <v>No</v>
      </c>
    </row>
    <row r="21" spans="2:9" x14ac:dyDescent="0.25">
      <c r="B21" s="5">
        <f t="shared" si="0"/>
        <v>17</v>
      </c>
      <c r="C21" s="9">
        <f t="shared" si="1"/>
        <v>7.489837646484375</v>
      </c>
      <c r="D21" s="9">
        <f t="shared" si="2"/>
        <v>7.4898529052734375</v>
      </c>
      <c r="E21" s="9">
        <f t="shared" si="3"/>
        <v>7.4898452758789063</v>
      </c>
      <c r="F21" s="9">
        <f t="shared" si="4"/>
        <v>1.6451321619115333E-4</v>
      </c>
      <c r="G21" s="9">
        <f t="shared" si="5"/>
        <v>-9.939158181282437E-4</v>
      </c>
      <c r="H21" s="9">
        <f t="shared" si="6"/>
        <v>7.62939453125E-6</v>
      </c>
      <c r="I21" s="9" t="str">
        <f>IF(OR(ABS(G21)&lt;=#REF!,H21&lt;=#REF!),"Si","No")</f>
        <v>No</v>
      </c>
    </row>
    <row r="22" spans="2:9" x14ac:dyDescent="0.25">
      <c r="B22" s="5">
        <f t="shared" si="0"/>
        <v>18</v>
      </c>
      <c r="C22" s="9">
        <f t="shared" si="1"/>
        <v>7.489837646484375</v>
      </c>
      <c r="D22" s="9">
        <f t="shared" si="2"/>
        <v>7.4898452758789063</v>
      </c>
      <c r="E22" s="9">
        <f t="shared" si="3"/>
        <v>7.4898414611816406</v>
      </c>
      <c r="F22" s="9">
        <f t="shared" si="4"/>
        <v>1.6451321619115333E-4</v>
      </c>
      <c r="G22" s="9">
        <f t="shared" si="5"/>
        <v>-4.146997645761985E-4</v>
      </c>
      <c r="H22" s="9">
        <f t="shared" si="6"/>
        <v>3.814697265625E-6</v>
      </c>
      <c r="I22" s="9" t="str">
        <f>IF(OR(ABS(G22)&lt;=#REF!,H22&lt;=#REF!),"Si","No")</f>
        <v>No</v>
      </c>
    </row>
    <row r="23" spans="2:9" x14ac:dyDescent="0.25">
      <c r="B23" s="5">
        <f t="shared" si="0"/>
        <v>19</v>
      </c>
      <c r="C23" s="9">
        <f t="shared" si="1"/>
        <v>7.489837646484375</v>
      </c>
      <c r="D23" s="9">
        <f t="shared" si="2"/>
        <v>7.4898414611816406</v>
      </c>
      <c r="E23" s="9">
        <f t="shared" si="3"/>
        <v>7.4898395538330078</v>
      </c>
      <c r="F23" s="9">
        <f t="shared" si="4"/>
        <v>1.6451321619115333E-4</v>
      </c>
      <c r="G23" s="9">
        <f t="shared" si="5"/>
        <v>-1.2509289030049331E-4</v>
      </c>
      <c r="H23" s="9">
        <f t="shared" si="6"/>
        <v>1.9073486328125E-6</v>
      </c>
      <c r="I23" s="9" t="str">
        <f>IF(OR(ABS(G23)&lt;=#REF!,H23&lt;=#REF!),"Si","No")</f>
        <v>No</v>
      </c>
    </row>
    <row r="24" spans="2:9" x14ac:dyDescent="0.25">
      <c r="B24" s="5">
        <f t="shared" si="0"/>
        <v>20</v>
      </c>
      <c r="C24" s="9">
        <f t="shared" si="1"/>
        <v>7.489837646484375</v>
      </c>
      <c r="D24" s="9">
        <f t="shared" si="2"/>
        <v>7.4898395538330078</v>
      </c>
      <c r="E24" s="9">
        <f t="shared" si="3"/>
        <v>7.4898386001586914</v>
      </c>
      <c r="F24" s="9">
        <f t="shared" si="4"/>
        <v>1.6451321619115333E-4</v>
      </c>
      <c r="G24" s="9">
        <f t="shared" si="5"/>
        <v>1.9710259152816434E-5</v>
      </c>
      <c r="H24" s="9">
        <f t="shared" si="6"/>
        <v>9.5367431640625E-7</v>
      </c>
      <c r="I24" s="9" t="str">
        <f>IF(OR(ABS(G24)&lt;=#REF!,H24&lt;=#REF!),"Si","No")</f>
        <v>Si</v>
      </c>
    </row>
    <row r="25" spans="2:9" x14ac:dyDescent="0.25">
      <c r="B25" s="5">
        <f t="shared" si="0"/>
        <v>21</v>
      </c>
      <c r="C25" s="9">
        <f t="shared" si="1"/>
        <v>7.4898386001586914</v>
      </c>
      <c r="D25" s="9">
        <f t="shared" si="2"/>
        <v>7.4898395538330078</v>
      </c>
      <c r="E25" s="9">
        <f t="shared" si="3"/>
        <v>7.4898390769958496</v>
      </c>
      <c r="F25" s="9">
        <f t="shared" si="4"/>
        <v>1.9710259152816434E-5</v>
      </c>
      <c r="G25" s="9">
        <f t="shared" si="5"/>
        <v>-5.2691291557493969E-5</v>
      </c>
      <c r="H25" s="9">
        <f t="shared" si="6"/>
        <v>4.76837158203125E-7</v>
      </c>
      <c r="I25" s="9" t="str">
        <f>IF(OR(ABS(G25)&lt;=#REF!,H25&lt;=#REF!),"Si","No")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1A63-BE87-44AB-ADFF-537C4AB3C240}">
  <dimension ref="B3:D10"/>
  <sheetViews>
    <sheetView workbookViewId="0">
      <selection activeCell="F11" sqref="F11"/>
    </sheetView>
  </sheetViews>
  <sheetFormatPr baseColWidth="10" defaultRowHeight="15" x14ac:dyDescent="0.25"/>
  <cols>
    <col min="2" max="2" width="17.28515625" customWidth="1"/>
  </cols>
  <sheetData>
    <row r="3" spans="2:4" ht="20.25" customHeight="1" x14ac:dyDescent="0.25">
      <c r="B3" s="15" t="s">
        <v>29</v>
      </c>
      <c r="C3" s="15"/>
      <c r="D3" s="15"/>
    </row>
    <row r="4" spans="2:4" ht="21.75" customHeight="1" x14ac:dyDescent="0.25">
      <c r="B4" s="18" t="s">
        <v>30</v>
      </c>
      <c r="C4" s="18"/>
      <c r="D4" s="18"/>
    </row>
    <row r="5" spans="2:4" x14ac:dyDescent="0.25">
      <c r="B5" s="3"/>
      <c r="C5" s="3"/>
      <c r="D5" s="3"/>
    </row>
    <row r="6" spans="2:4" x14ac:dyDescent="0.25">
      <c r="B6" s="8" t="s">
        <v>13</v>
      </c>
      <c r="C6" s="9">
        <f>#REF!</f>
        <v>3.2082204818725586</v>
      </c>
      <c r="D6" s="9">
        <f>#REF!</f>
        <v>1.391058622601804E-5</v>
      </c>
    </row>
    <row r="7" spans="2:4" x14ac:dyDescent="0.25">
      <c r="B7" s="8" t="s">
        <v>14</v>
      </c>
      <c r="C7" s="9">
        <f>COUNTIF(#REF!,"→")+1</f>
        <v>20</v>
      </c>
      <c r="D7" s="9"/>
    </row>
    <row r="8" spans="2:4" x14ac:dyDescent="0.25">
      <c r="B8" s="3"/>
      <c r="C8" s="3"/>
      <c r="D8" s="3"/>
    </row>
    <row r="9" spans="2:4" x14ac:dyDescent="0.25">
      <c r="B9" s="5" t="s">
        <v>15</v>
      </c>
      <c r="C9" s="9">
        <f>#REF!</f>
        <v>7.4898386001586914</v>
      </c>
      <c r="D9" s="10">
        <f>#REF!</f>
        <v>1.9710259152816434E-5</v>
      </c>
    </row>
    <row r="10" spans="2:4" x14ac:dyDescent="0.25">
      <c r="B10" s="5" t="s">
        <v>14</v>
      </c>
      <c r="C10" s="10">
        <f>COUNTIF(#REF!,"→")+1</f>
        <v>20</v>
      </c>
      <c r="D10" s="9"/>
    </row>
  </sheetData>
  <mergeCells count="2">
    <mergeCell ref="B3:D3"/>
    <mergeCell ref="B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64A8-F1A8-47EA-BDBD-4B0F1401D83E}">
  <dimension ref="B3:H9"/>
  <sheetViews>
    <sheetView workbookViewId="0">
      <selection activeCell="H32" sqref="H32"/>
    </sheetView>
  </sheetViews>
  <sheetFormatPr baseColWidth="10" defaultRowHeight="15" x14ac:dyDescent="0.25"/>
  <cols>
    <col min="2" max="2" width="15.28515625" customWidth="1"/>
    <col min="8" max="8" width="16" customWidth="1"/>
  </cols>
  <sheetData>
    <row r="3" spans="2:8" ht="18.75" customHeight="1" x14ac:dyDescent="0.25">
      <c r="B3" s="18" t="s">
        <v>16</v>
      </c>
      <c r="C3" s="18"/>
      <c r="D3" s="18"/>
      <c r="E3" s="18"/>
      <c r="F3" s="18"/>
      <c r="G3" s="18"/>
      <c r="H3" s="18"/>
    </row>
    <row r="4" spans="2:8" ht="21" customHeight="1" x14ac:dyDescent="0.25">
      <c r="B4" s="5" t="s">
        <v>26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11</v>
      </c>
      <c r="H4" s="5" t="s">
        <v>27</v>
      </c>
    </row>
    <row r="5" spans="2:8" x14ac:dyDescent="0.25">
      <c r="B5" s="5">
        <v>1</v>
      </c>
      <c r="C5" s="13">
        <v>3.5</v>
      </c>
      <c r="D5" s="14">
        <f>C5^3 - EXP(0.8*C5) - 20</f>
        <v>6.4303532289029448</v>
      </c>
      <c r="E5" s="13">
        <f>3*C5^2 - 0.8*EXP(0.8*C5)</f>
        <v>23.594282583122357</v>
      </c>
      <c r="F5" s="13">
        <f>C5 - D5/E5</f>
        <v>3.2274613794147422</v>
      </c>
      <c r="G5" s="13">
        <f>ABS(F5-C5)</f>
        <v>0.2725386205852578</v>
      </c>
      <c r="H5" s="10" t="str">
        <f>IF(OR(ABS(D5)&lt;#REF!,G5&lt;#REF!),"Si","No")</f>
        <v>No</v>
      </c>
    </row>
    <row r="6" spans="2:8" x14ac:dyDescent="0.25">
      <c r="B6" s="5">
        <f>B5+1</f>
        <v>2</v>
      </c>
      <c r="C6" s="13">
        <f>F5</f>
        <v>3.2274613794147422</v>
      </c>
      <c r="D6" s="14">
        <f>C6^3 - EXP(0.8*C6) - 20</f>
        <v>0.39572361474333917</v>
      </c>
      <c r="E6" s="13">
        <f>3*C6^2 - 0.8*EXP(0.8*C6)</f>
        <v>20.67100063251717</v>
      </c>
      <c r="F6" s="13">
        <f>C6 - D6/E6</f>
        <v>3.2083174772022467</v>
      </c>
      <c r="G6" s="13">
        <f>ABS(F6-C6)</f>
        <v>1.9143902212495512E-2</v>
      </c>
      <c r="H6" s="10" t="str">
        <f>IF(OR(ABS(D6)&lt;#REF!,G6&lt;#REF!),"Si","No")</f>
        <v>No</v>
      </c>
    </row>
    <row r="7" spans="2:8" x14ac:dyDescent="0.25">
      <c r="B7" s="5">
        <f>B6+1</f>
        <v>3</v>
      </c>
      <c r="C7" s="13">
        <f>F6</f>
        <v>3.2083174772022467</v>
      </c>
      <c r="D7" s="14">
        <f>C7^3 - EXP(0.8*C7) - 20</f>
        <v>1.9985931829964443E-3</v>
      </c>
      <c r="E7" s="13">
        <f>3*C7^2 - 0.8*EXP(0.8*C7)</f>
        <v>20.462159892383411</v>
      </c>
      <c r="F7" s="13">
        <f>C7 - D7/E7</f>
        <v>3.2082198045619434</v>
      </c>
      <c r="G7" s="13">
        <f>ABS(F7-C7)</f>
        <v>9.767264030324796E-5</v>
      </c>
      <c r="H7" s="10" t="str">
        <f>IF(OR(ABS(D7)&lt;#REF!,G7&lt;#REF!),"Si","No")</f>
        <v>No</v>
      </c>
    </row>
    <row r="8" spans="2:8" x14ac:dyDescent="0.25">
      <c r="B8" s="5">
        <f>B7+1</f>
        <v>4</v>
      </c>
      <c r="C8" s="13">
        <f>F7</f>
        <v>3.2082198045619434</v>
      </c>
      <c r="D8" s="14">
        <f>C8^3 - EXP(0.8*C8) - 20</f>
        <v>5.2067743894212981E-8</v>
      </c>
      <c r="E8" s="13">
        <f>3*C8^2 - 0.8*EXP(0.8*C8)</f>
        <v>20.461093722955745</v>
      </c>
      <c r="F8" s="13">
        <f>C8 - D8/E8</f>
        <v>3.2082198020172239</v>
      </c>
      <c r="G8" s="13">
        <f>ABS(F8-C8)</f>
        <v>2.544719546193619E-9</v>
      </c>
      <c r="H8" s="10" t="str">
        <f>IF(OR(ABS(D8)&lt;#REF!,G8&lt;#REF!),"Si","No")</f>
        <v>Si</v>
      </c>
    </row>
    <row r="9" spans="2:8" x14ac:dyDescent="0.25">
      <c r="B9" s="5">
        <f>B8+1</f>
        <v>5</v>
      </c>
      <c r="C9" s="13">
        <f>F8</f>
        <v>3.2082198020172239</v>
      </c>
      <c r="D9" s="14">
        <f>C9^3 - EXP(0.8*C9) - 20</f>
        <v>0</v>
      </c>
      <c r="E9" s="13">
        <f>3*C9^2 - 0.8*EXP(0.8*C9)</f>
        <v>20.46109369517816</v>
      </c>
      <c r="F9" s="13">
        <f>C9 - D9/E9</f>
        <v>3.2082198020172239</v>
      </c>
      <c r="G9" s="13">
        <f>ABS(F9-C9)</f>
        <v>0</v>
      </c>
      <c r="H9" s="10" t="str">
        <f>IF(OR(ABS(D9)&lt;#REF!,G9&lt;#REF!),"Si","No")</f>
        <v>Si</v>
      </c>
    </row>
  </sheetData>
  <mergeCells count="1">
    <mergeCell ref="B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2EDF-F222-4CF3-B25D-EDD2CCB88181}">
  <dimension ref="B3:H8"/>
  <sheetViews>
    <sheetView workbookViewId="0">
      <selection activeCell="G33" sqref="G33"/>
    </sheetView>
  </sheetViews>
  <sheetFormatPr baseColWidth="10" defaultRowHeight="15" x14ac:dyDescent="0.25"/>
  <cols>
    <col min="2" max="2" width="17.28515625" customWidth="1"/>
    <col min="8" max="8" width="16.85546875" customWidth="1"/>
  </cols>
  <sheetData>
    <row r="3" spans="2:8" x14ac:dyDescent="0.25">
      <c r="B3" s="18" t="s">
        <v>16</v>
      </c>
      <c r="C3" s="18"/>
      <c r="D3" s="18"/>
      <c r="E3" s="18"/>
      <c r="F3" s="18"/>
      <c r="G3" s="18"/>
      <c r="H3" s="18"/>
    </row>
    <row r="4" spans="2:8" x14ac:dyDescent="0.25">
      <c r="B4" s="5" t="s">
        <v>26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11</v>
      </c>
      <c r="H4" s="5" t="s">
        <v>27</v>
      </c>
    </row>
    <row r="5" spans="2:8" x14ac:dyDescent="0.25">
      <c r="B5" s="5">
        <v>1</v>
      </c>
      <c r="C5" s="13">
        <v>7.5</v>
      </c>
      <c r="D5" s="14">
        <f>C5^3 - EXP(0.8*C5) - 20</f>
        <v>-1.5537934927351102</v>
      </c>
      <c r="E5" s="13">
        <f>3*C5^2 - 0.8*EXP(0.8*C5)</f>
        <v>-153.99303479418813</v>
      </c>
      <c r="F5" s="13">
        <f>C5 - (D5/E5)</f>
        <v>7.4899099755075822</v>
      </c>
      <c r="G5" s="13">
        <f>ABS(F5-C5)</f>
        <v>1.0090024492417804E-2</v>
      </c>
      <c r="H5" s="10" t="str">
        <f>IF(OR(ABS(D5)&lt;#REF!,G5&lt;#REF!),"Si","No")</f>
        <v>No</v>
      </c>
    </row>
    <row r="6" spans="2:8" x14ac:dyDescent="0.25">
      <c r="B6" s="5">
        <f>B5+1</f>
        <v>2</v>
      </c>
      <c r="C6" s="13">
        <f>F5</f>
        <v>7.4899099755075822</v>
      </c>
      <c r="D6" s="14">
        <f>C6^3 - EXP(0.8*C6) - 20</f>
        <v>-1.0818246930170972E-2</v>
      </c>
      <c r="E6" s="13">
        <f>3*C6^2 - 0.8*EXP(0.8*C6)</f>
        <v>-151.85207870033943</v>
      </c>
      <c r="F6" s="13">
        <f>C6 - (D6/E6)</f>
        <v>7.4898387335000791</v>
      </c>
      <c r="G6" s="13">
        <f>ABS(F6-C6)</f>
        <v>7.1242007503080629E-5</v>
      </c>
      <c r="H6" s="10" t="str">
        <f>IF(OR(ABS(D6)&lt;#REF!,G6&lt;#REF!),"Si","No")</f>
        <v>No</v>
      </c>
    </row>
    <row r="7" spans="2:8" x14ac:dyDescent="0.25">
      <c r="B7" s="5">
        <f>B6+1</f>
        <v>3</v>
      </c>
      <c r="C7" s="13">
        <f>F6</f>
        <v>7.4898387335000791</v>
      </c>
      <c r="D7" s="14">
        <f>C7^3 - EXP(0.8*C7) - 20</f>
        <v>-5.3589991466651554E-7</v>
      </c>
      <c r="E7" s="13">
        <f>3*C7^2 - 0.8*EXP(0.8*C7)</f>
        <v>-151.83703437444882</v>
      </c>
      <c r="F7" s="13">
        <f>C7 - (D7/E7)</f>
        <v>7.4898387299706375</v>
      </c>
      <c r="G7" s="13">
        <f>ABS(F7-C7)</f>
        <v>3.5294416278475182E-9</v>
      </c>
      <c r="H7" s="10" t="str">
        <f>IF(OR(ABS(D7)&lt;#REF!,G7&lt;#REF!),"Si","No")</f>
        <v>Si</v>
      </c>
    </row>
    <row r="8" spans="2:8" x14ac:dyDescent="0.25">
      <c r="B8" s="5">
        <f>B7+1</f>
        <v>4</v>
      </c>
      <c r="C8" s="13">
        <f>F7</f>
        <v>7.4898387299706375</v>
      </c>
      <c r="D8" s="14">
        <f>C8^3 - EXP(0.8*C8) - 20</f>
        <v>-1.1368683772161603E-13</v>
      </c>
      <c r="E8" s="13">
        <f>3*C8^2 - 0.8*EXP(0.8*C8)</f>
        <v>-151.83703362915429</v>
      </c>
      <c r="F8" s="13">
        <f>C8 - (D8/E8)</f>
        <v>7.4898387299706366</v>
      </c>
      <c r="G8" s="13">
        <f>ABS(F8-C8)</f>
        <v>8.8817841970012523E-16</v>
      </c>
      <c r="H8" s="10" t="str">
        <f>IF(OR(ABS(D8)&lt;#REF!,G8&lt;#REF!),"Si","No")</f>
        <v>Si</v>
      </c>
    </row>
  </sheetData>
  <mergeCells count="1">
    <mergeCell ref="B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D240-5738-43E3-ADE4-D0BCFB2EB92E}">
  <dimension ref="B3:D10"/>
  <sheetViews>
    <sheetView workbookViewId="0">
      <selection activeCell="H20" sqref="H20"/>
    </sheetView>
  </sheetViews>
  <sheetFormatPr baseColWidth="10" defaultRowHeight="15" x14ac:dyDescent="0.25"/>
  <cols>
    <col min="2" max="2" width="17.42578125" customWidth="1"/>
  </cols>
  <sheetData>
    <row r="3" spans="2:4" ht="21.75" customHeight="1" x14ac:dyDescent="0.25">
      <c r="B3" s="15" t="s">
        <v>29</v>
      </c>
      <c r="C3" s="15"/>
      <c r="D3" s="15"/>
    </row>
    <row r="4" spans="2:4" ht="21.75" customHeight="1" x14ac:dyDescent="0.25">
      <c r="B4" s="18" t="s">
        <v>16</v>
      </c>
      <c r="C4" s="18"/>
      <c r="D4" s="18"/>
    </row>
    <row r="5" spans="2:4" x14ac:dyDescent="0.25">
      <c r="B5" s="3"/>
      <c r="C5" s="3"/>
      <c r="D5" s="3"/>
    </row>
    <row r="6" spans="2:4" x14ac:dyDescent="0.25">
      <c r="B6" s="8" t="s">
        <v>17</v>
      </c>
      <c r="C6" s="9">
        <f>#REF!</f>
        <v>3.2082198020172239</v>
      </c>
      <c r="D6" s="11">
        <f>#REF!</f>
        <v>2.544719546193619E-9</v>
      </c>
    </row>
    <row r="7" spans="2:4" x14ac:dyDescent="0.25">
      <c r="B7" s="5" t="s">
        <v>14</v>
      </c>
      <c r="C7" s="9">
        <f>COUNTIF(#REF!,"→")+1</f>
        <v>4</v>
      </c>
      <c r="D7" s="9"/>
    </row>
    <row r="8" spans="2:4" x14ac:dyDescent="0.25">
      <c r="B8" s="3"/>
      <c r="C8" s="3"/>
      <c r="D8" s="3"/>
    </row>
    <row r="9" spans="2:4" x14ac:dyDescent="0.25">
      <c r="B9" s="8" t="s">
        <v>18</v>
      </c>
      <c r="C9" s="9">
        <f>#REF!</f>
        <v>7.4898387299706375</v>
      </c>
      <c r="D9" s="12">
        <f>#REF!</f>
        <v>3.5294416278475182E-9</v>
      </c>
    </row>
    <row r="10" spans="2:4" x14ac:dyDescent="0.25">
      <c r="B10" s="5" t="s">
        <v>14</v>
      </c>
      <c r="C10" s="10">
        <f>COUNTIF(#REF!,"→")+1</f>
        <v>3</v>
      </c>
      <c r="D10" s="9"/>
    </row>
  </sheetData>
  <mergeCells count="2">
    <mergeCell ref="B3:D3"/>
    <mergeCell ref="B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27CE-68C2-49AB-B259-523A6A9F02C3}">
  <dimension ref="B3:I10"/>
  <sheetViews>
    <sheetView workbookViewId="0">
      <selection activeCell="K10" sqref="K10"/>
    </sheetView>
  </sheetViews>
  <sheetFormatPr baseColWidth="10" defaultRowHeight="15" x14ac:dyDescent="0.25"/>
  <cols>
    <col min="2" max="2" width="14.7109375" customWidth="1"/>
    <col min="9" max="9" width="16.85546875" customWidth="1"/>
  </cols>
  <sheetData>
    <row r="3" spans="2:9" x14ac:dyDescent="0.25">
      <c r="B3" s="18" t="s">
        <v>19</v>
      </c>
      <c r="C3" s="18"/>
      <c r="D3" s="18"/>
      <c r="E3" s="18"/>
      <c r="F3" s="18"/>
      <c r="G3" s="18"/>
      <c r="H3" s="18"/>
      <c r="I3" s="18"/>
    </row>
    <row r="4" spans="2:9" x14ac:dyDescent="0.25">
      <c r="B4" s="5" t="s">
        <v>26</v>
      </c>
      <c r="C4" s="5" t="s">
        <v>35</v>
      </c>
      <c r="D4" s="5" t="s">
        <v>31</v>
      </c>
      <c r="E4" s="5" t="s">
        <v>36</v>
      </c>
      <c r="F4" s="5" t="s">
        <v>32</v>
      </c>
      <c r="G4" s="5" t="s">
        <v>34</v>
      </c>
      <c r="H4" s="5" t="s">
        <v>11</v>
      </c>
      <c r="I4" s="5" t="s">
        <v>27</v>
      </c>
    </row>
    <row r="5" spans="2:9" x14ac:dyDescent="0.25">
      <c r="B5" s="5">
        <v>1</v>
      </c>
      <c r="C5" s="13">
        <v>3</v>
      </c>
      <c r="D5" s="13">
        <v>4</v>
      </c>
      <c r="E5" s="13">
        <f>C5^3 - EXP(0.8*C5) - 20</f>
        <v>-4.0231763806416048</v>
      </c>
      <c r="F5" s="13">
        <f>D5^3 - EXP(0.8*D5) - 20</f>
        <v>19.467469802890648</v>
      </c>
      <c r="G5" s="13">
        <f t="shared" ref="G5:G10" si="0">D5 - F5*(D5-C5)/(F5-E5)</f>
        <v>3.1712671652030582</v>
      </c>
      <c r="H5" s="12">
        <f t="shared" ref="H5:H10" si="1">ABS(G5-D5)</f>
        <v>0.82873283479694182</v>
      </c>
      <c r="I5" s="10" t="str">
        <f>IF(OR(ABS(G5)&lt;#REF!,H5&lt;#REF!),"Si","No")</f>
        <v>No</v>
      </c>
    </row>
    <row r="6" spans="2:9" x14ac:dyDescent="0.25">
      <c r="B6" s="5">
        <f>B5+1</f>
        <v>2</v>
      </c>
      <c r="C6" s="13">
        <f>D5</f>
        <v>4</v>
      </c>
      <c r="D6" s="13">
        <f>G5</f>
        <v>3.1712671652030582</v>
      </c>
      <c r="E6" s="13">
        <f>F5</f>
        <v>19.467469802890648</v>
      </c>
      <c r="F6" s="13">
        <f>D6^3 - EXP(0.8*D6) - 20</f>
        <v>-0.74863343680182481</v>
      </c>
      <c r="G6" s="13">
        <f t="shared" si="0"/>
        <v>3.2019564183666658</v>
      </c>
      <c r="H6" s="12">
        <f t="shared" si="1"/>
        <v>3.0689253163607599E-2</v>
      </c>
      <c r="I6" s="10" t="str">
        <f>IF(OR(ABS(G6)&lt;#REF!,H6&lt;#REF!),"Si","No")</f>
        <v>No</v>
      </c>
    </row>
    <row r="7" spans="2:9" x14ac:dyDescent="0.25">
      <c r="B7" s="5">
        <f>B6+1</f>
        <v>3</v>
      </c>
      <c r="C7" s="13">
        <f>D6</f>
        <v>3.1712671652030582</v>
      </c>
      <c r="D7" s="13">
        <f>G6</f>
        <v>3.2019564183666658</v>
      </c>
      <c r="E7" s="13">
        <f>F6</f>
        <v>-0.74863343680182481</v>
      </c>
      <c r="F7" s="13">
        <f>D7^3 - EXP(0.8*D7) - 20</f>
        <v>-0.12794153995860569</v>
      </c>
      <c r="G7" s="13">
        <f t="shared" si="0"/>
        <v>3.2082823110195275</v>
      </c>
      <c r="H7" s="12">
        <f t="shared" si="1"/>
        <v>6.3258926528617643E-3</v>
      </c>
      <c r="I7" s="10" t="str">
        <f>IF(OR(ABS(G7)&lt;#REF!,H7&lt;#REF!),"Si","No")</f>
        <v>No</v>
      </c>
    </row>
    <row r="8" spans="2:9" x14ac:dyDescent="0.25">
      <c r="B8" s="5">
        <f>B7+1</f>
        <v>4</v>
      </c>
      <c r="C8" s="13">
        <f>D7</f>
        <v>3.2019564183666658</v>
      </c>
      <c r="D8" s="13">
        <f>G7</f>
        <v>3.2082823110195275</v>
      </c>
      <c r="E8" s="13">
        <f>F7</f>
        <v>-0.12794153995860569</v>
      </c>
      <c r="F8" s="13">
        <f>D8^3 - EXP(0.8*D8) - 20</f>
        <v>1.2790238789150976E-3</v>
      </c>
      <c r="G8" s="13">
        <f t="shared" si="0"/>
        <v>3.208219697395827</v>
      </c>
      <c r="H8" s="12">
        <f t="shared" si="1"/>
        <v>6.2613623700524812E-5</v>
      </c>
      <c r="I8" s="10" t="str">
        <f>IF(OR(ABS(G8)&lt;#REF!,H8&lt;#REF!),"Si","No")</f>
        <v>No</v>
      </c>
    </row>
    <row r="9" spans="2:9" x14ac:dyDescent="0.25">
      <c r="B9" s="5">
        <f>B8+1</f>
        <v>5</v>
      </c>
      <c r="C9" s="13">
        <f>D8</f>
        <v>3.2082823110195275</v>
      </c>
      <c r="D9" s="13">
        <f>G8</f>
        <v>3.208219697395827</v>
      </c>
      <c r="E9" s="13">
        <f>F8</f>
        <v>1.2790238789150976E-3</v>
      </c>
      <c r="F9" s="13">
        <f>D9^3 - EXP(0.8*D9) - 20</f>
        <v>-2.1406681440794273E-6</v>
      </c>
      <c r="G9" s="13">
        <f t="shared" si="0"/>
        <v>3.2082198020154795</v>
      </c>
      <c r="H9" s="12">
        <f t="shared" si="1"/>
        <v>1.0461965249675131E-7</v>
      </c>
      <c r="I9" s="10" t="str">
        <f>IF(OR(ABS(G9)&lt;#REF!,H9&lt;#REF!),"Si","No")</f>
        <v>Si</v>
      </c>
    </row>
    <row r="10" spans="2:9" x14ac:dyDescent="0.25">
      <c r="B10" s="5">
        <f>B9+1</f>
        <v>6</v>
      </c>
      <c r="C10" s="13">
        <f>D9</f>
        <v>3.208219697395827</v>
      </c>
      <c r="D10" s="13">
        <f>G9</f>
        <v>3.2082198020154795</v>
      </c>
      <c r="E10" s="13">
        <f>F9</f>
        <v>-2.1406681440794273E-6</v>
      </c>
      <c r="F10" s="13">
        <f>D10^3 - EXP(0.8*D10) - 20</f>
        <v>-3.5687008903551032E-11</v>
      </c>
      <c r="G10" s="13">
        <f t="shared" si="0"/>
        <v>3.2082198020172235</v>
      </c>
      <c r="H10" s="12">
        <f t="shared" si="1"/>
        <v>1.7439383270811959E-12</v>
      </c>
      <c r="I10" s="10" t="str">
        <f>IF(OR(ABS(G10)&lt;#REF!,H10&lt;#REF!),"Si","No")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A77F-7550-4949-A7B0-49542328DD9A}">
  <dimension ref="B3:I12"/>
  <sheetViews>
    <sheetView workbookViewId="0">
      <selection activeCell="C22" sqref="C22"/>
    </sheetView>
  </sheetViews>
  <sheetFormatPr baseColWidth="10" defaultRowHeight="15" x14ac:dyDescent="0.25"/>
  <cols>
    <col min="2" max="2" width="15.7109375" customWidth="1"/>
    <col min="9" max="9" width="16" customWidth="1"/>
  </cols>
  <sheetData>
    <row r="3" spans="2:9" ht="24" customHeight="1" x14ac:dyDescent="0.25">
      <c r="B3" s="18" t="s">
        <v>19</v>
      </c>
      <c r="C3" s="18"/>
      <c r="D3" s="18"/>
      <c r="E3" s="18"/>
      <c r="F3" s="18"/>
      <c r="G3" s="18"/>
      <c r="H3" s="18"/>
      <c r="I3" s="18"/>
    </row>
    <row r="4" spans="2:9" ht="19.5" customHeight="1" x14ac:dyDescent="0.25">
      <c r="B4" s="5" t="s">
        <v>26</v>
      </c>
      <c r="C4" s="5" t="s">
        <v>35</v>
      </c>
      <c r="D4" s="5" t="s">
        <v>31</v>
      </c>
      <c r="E4" s="5" t="s">
        <v>36</v>
      </c>
      <c r="F4" s="5" t="s">
        <v>32</v>
      </c>
      <c r="G4" s="5" t="s">
        <v>34</v>
      </c>
      <c r="H4" s="5" t="s">
        <v>11</v>
      </c>
      <c r="I4" s="5" t="s">
        <v>27</v>
      </c>
    </row>
    <row r="5" spans="2:9" x14ac:dyDescent="0.25">
      <c r="B5" s="5">
        <v>1</v>
      </c>
      <c r="C5" s="13">
        <v>7</v>
      </c>
      <c r="D5" s="13">
        <v>8</v>
      </c>
      <c r="E5" s="13">
        <f>C5^3 - EXP(0.8*C5) - 20</f>
        <v>52.573592573847236</v>
      </c>
      <c r="F5" s="13">
        <f>D5^3 - EXP(0.8*D5) - 20</f>
        <v>-109.84503787208223</v>
      </c>
      <c r="G5" s="13">
        <f t="shared" ref="G5:G12" si="0">D5 - F5*(D5-C5)/(F5-E5)</f>
        <v>7.3236918845424537</v>
      </c>
      <c r="H5" s="12">
        <f t="shared" ref="H5:H12" si="1">ABS(G5-D5)</f>
        <v>0.67630811545754632</v>
      </c>
      <c r="I5" s="10" t="str">
        <f>IF(OR(ABS(G5)&lt;#REF!,H5&lt;#REF!),"Si","No")</f>
        <v>No</v>
      </c>
    </row>
    <row r="6" spans="2:9" x14ac:dyDescent="0.25">
      <c r="B6" s="5">
        <f t="shared" ref="B6:B12" si="2">B5+1</f>
        <v>2</v>
      </c>
      <c r="C6" s="13">
        <f t="shared" ref="C6:C12" si="3">D5</f>
        <v>8</v>
      </c>
      <c r="D6" s="13">
        <f t="shared" ref="D6:D12" si="4">G5</f>
        <v>7.3236918845424537</v>
      </c>
      <c r="E6" s="13">
        <f t="shared" ref="E6:E12" si="5">F5</f>
        <v>-109.84503787208223</v>
      </c>
      <c r="F6" s="13">
        <f t="shared" ref="F6:F12" si="6">D6^3 - EXP(0.8*D6) - 20</f>
        <v>22.459621607538395</v>
      </c>
      <c r="G6" s="13">
        <f t="shared" si="0"/>
        <v>7.4384998166517802</v>
      </c>
      <c r="H6" s="12">
        <f t="shared" si="1"/>
        <v>0.11480793210932649</v>
      </c>
      <c r="I6" s="10" t="str">
        <f>IF(OR(ABS(G6)&lt;#REF!,H6&lt;#REF!),"Si","No")</f>
        <v>No</v>
      </c>
    </row>
    <row r="7" spans="2:9" x14ac:dyDescent="0.25">
      <c r="B7" s="5">
        <f t="shared" si="2"/>
        <v>3</v>
      </c>
      <c r="C7" s="13">
        <f t="shared" si="3"/>
        <v>7.3236918845424537</v>
      </c>
      <c r="D7" s="13">
        <f t="shared" si="4"/>
        <v>7.4384998166517802</v>
      </c>
      <c r="E7" s="13">
        <f t="shared" si="5"/>
        <v>22.459621607538395</v>
      </c>
      <c r="F7" s="13">
        <f t="shared" si="6"/>
        <v>7.5213043492045699</v>
      </c>
      <c r="G7" s="13">
        <f t="shared" si="0"/>
        <v>7.4963045468743443</v>
      </c>
      <c r="H7" s="12">
        <f t="shared" si="1"/>
        <v>5.780473022256416E-2</v>
      </c>
      <c r="I7" s="10" t="str">
        <f>IF(OR(ABS(G7)&lt;#REF!,H7&lt;#REF!),"Si","No")</f>
        <v>No</v>
      </c>
    </row>
    <row r="8" spans="2:9" x14ac:dyDescent="0.25">
      <c r="B8" s="5">
        <f t="shared" si="2"/>
        <v>4</v>
      </c>
      <c r="C8" s="13">
        <f t="shared" si="3"/>
        <v>7.4384998166517802</v>
      </c>
      <c r="D8" s="13">
        <f t="shared" si="4"/>
        <v>7.4963045468743443</v>
      </c>
      <c r="E8" s="13">
        <f t="shared" si="5"/>
        <v>7.5213043492045699</v>
      </c>
      <c r="F8" s="13">
        <f t="shared" si="6"/>
        <v>-0.98617349676993626</v>
      </c>
      <c r="G8" s="13">
        <f t="shared" si="0"/>
        <v>7.4896039131535757</v>
      </c>
      <c r="H8" s="12">
        <f t="shared" si="1"/>
        <v>6.7006337207686784E-3</v>
      </c>
      <c r="I8" s="10" t="str">
        <f>IF(OR(ABS(G8)&lt;#REF!,H8&lt;#REF!),"Si","No")</f>
        <v>No</v>
      </c>
    </row>
    <row r="9" spans="2:9" x14ac:dyDescent="0.25">
      <c r="B9" s="5">
        <f t="shared" si="2"/>
        <v>5</v>
      </c>
      <c r="C9" s="13">
        <f t="shared" si="3"/>
        <v>7.4963045468743443</v>
      </c>
      <c r="D9" s="13">
        <f t="shared" si="4"/>
        <v>7.4896039131535757</v>
      </c>
      <c r="E9" s="13">
        <f t="shared" si="5"/>
        <v>-0.98617349676993626</v>
      </c>
      <c r="F9" s="13">
        <f t="shared" si="6"/>
        <v>3.5648067670081218E-2</v>
      </c>
      <c r="G9" s="13">
        <f t="shared" si="0"/>
        <v>7.4898376767113461</v>
      </c>
      <c r="H9" s="12">
        <f t="shared" si="1"/>
        <v>2.337635577704944E-4</v>
      </c>
      <c r="I9" s="10" t="str">
        <f>IF(OR(ABS(G9)&lt;#REF!,H9&lt;#REF!),"Si","No")</f>
        <v>No</v>
      </c>
    </row>
    <row r="10" spans="2:9" x14ac:dyDescent="0.25">
      <c r="B10" s="5">
        <f t="shared" si="2"/>
        <v>6</v>
      </c>
      <c r="C10" s="13">
        <f t="shared" si="3"/>
        <v>7.4896039131535757</v>
      </c>
      <c r="D10" s="13">
        <f t="shared" si="4"/>
        <v>7.4898376767113461</v>
      </c>
      <c r="E10" s="13">
        <f t="shared" si="5"/>
        <v>3.5648067670081218E-2</v>
      </c>
      <c r="F10" s="13">
        <f t="shared" si="6"/>
        <v>1.5992364939165782E-4</v>
      </c>
      <c r="G10" s="13">
        <f t="shared" si="0"/>
        <v>7.4898387301426341</v>
      </c>
      <c r="H10" s="12">
        <f t="shared" si="1"/>
        <v>1.0534312879784125E-6</v>
      </c>
      <c r="I10" s="10" t="str">
        <f>IF(OR(ABS(G10)&lt;#REF!,H10&lt;#REF!),"Si","No")</f>
        <v>No</v>
      </c>
    </row>
    <row r="11" spans="2:9" x14ac:dyDescent="0.25">
      <c r="B11" s="5">
        <f t="shared" si="2"/>
        <v>7</v>
      </c>
      <c r="C11" s="13">
        <f t="shared" si="3"/>
        <v>7.4898376767113461</v>
      </c>
      <c r="D11" s="13">
        <f t="shared" si="4"/>
        <v>7.4898387301426341</v>
      </c>
      <c r="E11" s="13">
        <f t="shared" si="5"/>
        <v>1.5992364939165782E-4</v>
      </c>
      <c r="F11" s="13">
        <f t="shared" si="6"/>
        <v>-2.6115685614058748E-8</v>
      </c>
      <c r="G11" s="13">
        <f t="shared" si="0"/>
        <v>7.4898387299706357</v>
      </c>
      <c r="H11" s="12">
        <f t="shared" si="1"/>
        <v>1.7199841551018835E-10</v>
      </c>
      <c r="I11" s="10" t="str">
        <f>IF(OR(ABS(G11)&lt;#REF!,H11&lt;#REF!),"Si","No")</f>
        <v>Si</v>
      </c>
    </row>
    <row r="12" spans="2:9" x14ac:dyDescent="0.25">
      <c r="B12" s="5">
        <f t="shared" si="2"/>
        <v>8</v>
      </c>
      <c r="C12" s="13">
        <f t="shared" si="3"/>
        <v>7.4898387301426341</v>
      </c>
      <c r="D12" s="13">
        <f t="shared" si="4"/>
        <v>7.4898387299706357</v>
      </c>
      <c r="E12" s="13">
        <f t="shared" si="5"/>
        <v>-2.6115685614058748E-8</v>
      </c>
      <c r="F12" s="13">
        <f t="shared" si="6"/>
        <v>3.4106051316484809E-13</v>
      </c>
      <c r="G12" s="13">
        <f t="shared" si="0"/>
        <v>7.4898387299706384</v>
      </c>
      <c r="H12" s="12">
        <f t="shared" si="1"/>
        <v>2.6645352591003757E-15</v>
      </c>
      <c r="I12" s="10" t="str">
        <f>IF(OR(ABS(G12)&lt;#REF!,H12&lt;#REF!),"Si","No")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F3D7-C07E-4528-8931-FAF6F1BCF7E1}">
  <dimension ref="B3:D10"/>
  <sheetViews>
    <sheetView workbookViewId="0">
      <selection activeCell="H12" sqref="H12"/>
    </sheetView>
  </sheetViews>
  <sheetFormatPr baseColWidth="10" defaultRowHeight="15" x14ac:dyDescent="0.25"/>
  <cols>
    <col min="2" max="2" width="15.7109375" customWidth="1"/>
  </cols>
  <sheetData>
    <row r="3" spans="2:4" ht="18.75" customHeight="1" x14ac:dyDescent="0.25">
      <c r="B3" s="15" t="s">
        <v>29</v>
      </c>
      <c r="C3" s="15"/>
      <c r="D3" s="15"/>
    </row>
    <row r="4" spans="2:4" ht="18.75" customHeight="1" x14ac:dyDescent="0.25">
      <c r="B4" s="18" t="s">
        <v>19</v>
      </c>
      <c r="C4" s="18"/>
      <c r="D4" s="18"/>
    </row>
    <row r="5" spans="2:4" x14ac:dyDescent="0.25">
      <c r="B5" s="3"/>
      <c r="C5" s="3"/>
      <c r="D5" s="3"/>
    </row>
    <row r="6" spans="2:4" x14ac:dyDescent="0.25">
      <c r="B6" s="8" t="s">
        <v>13</v>
      </c>
      <c r="C6" s="9">
        <f>#REF!</f>
        <v>3.208219697395827</v>
      </c>
      <c r="D6" s="11">
        <f>#REF!</f>
        <v>1.0461965249675131E-7</v>
      </c>
    </row>
    <row r="7" spans="2:4" x14ac:dyDescent="0.25">
      <c r="B7" s="8" t="s">
        <v>14</v>
      </c>
      <c r="C7" s="9">
        <f>COUNTIF(#REF!,"→")+1</f>
        <v>5</v>
      </c>
      <c r="D7" s="9"/>
    </row>
    <row r="8" spans="2:4" x14ac:dyDescent="0.25">
      <c r="B8" s="3"/>
      <c r="C8" s="3"/>
      <c r="D8" s="3"/>
    </row>
    <row r="9" spans="2:4" x14ac:dyDescent="0.25">
      <c r="B9" s="5" t="s">
        <v>15</v>
      </c>
      <c r="C9" s="9">
        <f>#REF!</f>
        <v>7.4898387301426341</v>
      </c>
      <c r="D9" s="12">
        <f>#REF!</f>
        <v>1.7199841551018835E-10</v>
      </c>
    </row>
    <row r="10" spans="2:4" x14ac:dyDescent="0.25">
      <c r="B10" s="5" t="s">
        <v>14</v>
      </c>
      <c r="C10" s="10">
        <f>COUNTIF(#REF!,"→")+1</f>
        <v>7</v>
      </c>
      <c r="D10" s="9"/>
    </row>
  </sheetData>
  <mergeCells count="2">
    <mergeCell ref="B3:D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Bisección</vt:lpstr>
      <vt:lpstr>Bisección 2</vt:lpstr>
      <vt:lpstr>Soluciones Bisección</vt:lpstr>
      <vt:lpstr>Newton 3.5</vt:lpstr>
      <vt:lpstr>Newton 7.5</vt:lpstr>
      <vt:lpstr>Soluciones Newton</vt:lpstr>
      <vt:lpstr>Secante</vt:lpstr>
      <vt:lpstr>Secante 2</vt:lpstr>
      <vt:lpstr>Soluciones 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Espinoza</dc:creator>
  <cp:lastModifiedBy>Maximiliano Espinoza</cp:lastModifiedBy>
  <dcterms:created xsi:type="dcterms:W3CDTF">2025-12-01T02:40:35Z</dcterms:created>
  <dcterms:modified xsi:type="dcterms:W3CDTF">2025-12-01T03:07:29Z</dcterms:modified>
</cp:coreProperties>
</file>
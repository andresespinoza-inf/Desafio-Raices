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2B85A41FBAAF1C/Documentos/metodos numericos/ejercicios raices/"/>
    </mc:Choice>
  </mc:AlternateContent>
  <xr:revisionPtr revIDLastSave="0" documentId="8_{292C53B9-DFA2-413E-AF00-B33A74FBA172}" xr6:coauthVersionLast="47" xr6:coauthVersionMax="47" xr10:uidLastSave="{00000000-0000-0000-0000-000000000000}"/>
  <bookViews>
    <workbookView xWindow="-120" yWindow="-120" windowWidth="29040" windowHeight="15720" xr2:uid="{097D310D-3CF9-4607-81D0-DFA2F3A220E0}"/>
  </bookViews>
  <sheets>
    <sheet name="Resumen" sheetId="1" r:id="rId1"/>
    <sheet name="Bisección" sheetId="2" r:id="rId2"/>
    <sheet name="Bisección 2" sheetId="3" r:id="rId3"/>
    <sheet name="Biseccion 3" sheetId="4" r:id="rId4"/>
    <sheet name="Soluciones Bisección" sheetId="5" r:id="rId5"/>
    <sheet name="Newton 1" sheetId="6" r:id="rId6"/>
    <sheet name="Newton 0.5" sheetId="7" r:id="rId7"/>
    <sheet name="Newton 1.8" sheetId="8" r:id="rId8"/>
    <sheet name="Soluciones Newton" sheetId="9" r:id="rId9"/>
    <sheet name="Secante 1" sheetId="10" r:id="rId10"/>
    <sheet name="Secante 2" sheetId="11" r:id="rId11"/>
    <sheet name="Secante 3" sheetId="12" r:id="rId12"/>
    <sheet name="Soluciones Secante" sheetId="13" r:id="rId13"/>
  </sheets>
  <externalReferences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13" l="1"/>
  <c r="D12" i="13"/>
  <c r="C12" i="13"/>
  <c r="C10" i="13"/>
  <c r="D9" i="13"/>
  <c r="C9" i="13"/>
  <c r="C7" i="13"/>
  <c r="D6" i="13"/>
  <c r="C6" i="13"/>
  <c r="I6" i="12"/>
  <c r="I7" i="12"/>
  <c r="I8" i="12"/>
  <c r="I9" i="12"/>
  <c r="I10" i="12"/>
  <c r="I5" i="12"/>
  <c r="B8" i="12"/>
  <c r="B9" i="12" s="1"/>
  <c r="B10" i="12" s="1"/>
  <c r="B7" i="12"/>
  <c r="C6" i="12"/>
  <c r="B6" i="12"/>
  <c r="F5" i="12"/>
  <c r="E6" i="12" s="1"/>
  <c r="E5" i="12"/>
  <c r="I9" i="11"/>
  <c r="I6" i="11"/>
  <c r="I7" i="11"/>
  <c r="I8" i="11"/>
  <c r="I5" i="11"/>
  <c r="B7" i="11"/>
  <c r="B8" i="11" s="1"/>
  <c r="B9" i="11" s="1"/>
  <c r="C6" i="11"/>
  <c r="B6" i="11"/>
  <c r="F5" i="11"/>
  <c r="E6" i="11" s="1"/>
  <c r="E5" i="11"/>
  <c r="I6" i="10"/>
  <c r="I7" i="10"/>
  <c r="I8" i="10"/>
  <c r="I9" i="10"/>
  <c r="I10" i="10"/>
  <c r="I11" i="10"/>
  <c r="I12" i="10"/>
  <c r="I13" i="10"/>
  <c r="I14" i="10"/>
  <c r="I5" i="10"/>
  <c r="E6" i="10"/>
  <c r="C6" i="10"/>
  <c r="B6" i="10"/>
  <c r="B7" i="10" s="1"/>
  <c r="B8" i="10" s="1"/>
  <c r="B9" i="10" s="1"/>
  <c r="B10" i="10" s="1"/>
  <c r="B11" i="10" s="1"/>
  <c r="B12" i="10" s="1"/>
  <c r="B13" i="10" s="1"/>
  <c r="B14" i="10" s="1"/>
  <c r="F5" i="10"/>
  <c r="E5" i="10"/>
  <c r="C13" i="9"/>
  <c r="D12" i="9"/>
  <c r="C12" i="9"/>
  <c r="C10" i="9"/>
  <c r="D9" i="9"/>
  <c r="C9" i="9"/>
  <c r="C7" i="9"/>
  <c r="D6" i="9"/>
  <c r="C6" i="9"/>
  <c r="H6" i="8"/>
  <c r="H7" i="8"/>
  <c r="H8" i="8"/>
  <c r="H9" i="8"/>
  <c r="H5" i="8"/>
  <c r="B7" i="8"/>
  <c r="B8" i="8" s="1"/>
  <c r="B9" i="8" s="1"/>
  <c r="B6" i="8"/>
  <c r="E5" i="8"/>
  <c r="D5" i="8"/>
  <c r="F5" i="8" s="1"/>
  <c r="H6" i="7"/>
  <c r="H7" i="7"/>
  <c r="H8" i="7"/>
  <c r="H9" i="7"/>
  <c r="H5" i="7"/>
  <c r="B7" i="7"/>
  <c r="B8" i="7" s="1"/>
  <c r="B9" i="7" s="1"/>
  <c r="B6" i="7"/>
  <c r="E5" i="7"/>
  <c r="D5" i="7"/>
  <c r="H6" i="6"/>
  <c r="H7" i="6"/>
  <c r="H8" i="6"/>
  <c r="H9" i="6"/>
  <c r="H10" i="6"/>
  <c r="H11" i="6"/>
  <c r="H5" i="6"/>
  <c r="B7" i="6"/>
  <c r="B8" i="6" s="1"/>
  <c r="B9" i="6" s="1"/>
  <c r="B10" i="6" s="1"/>
  <c r="B11" i="6" s="1"/>
  <c r="B6" i="6"/>
  <c r="E5" i="6"/>
  <c r="D5" i="6"/>
  <c r="F5" i="6" s="1"/>
  <c r="C13" i="5"/>
  <c r="D12" i="5"/>
  <c r="C12" i="5"/>
  <c r="C10" i="5"/>
  <c r="D9" i="5"/>
  <c r="C9" i="5"/>
  <c r="C7" i="5"/>
  <c r="D6" i="5"/>
  <c r="C6" i="5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5" i="4"/>
  <c r="B8" i="4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7" i="4"/>
  <c r="B6" i="4"/>
  <c r="H5" i="4"/>
  <c r="F5" i="4"/>
  <c r="E5" i="4"/>
  <c r="G5" i="4" s="1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5" i="3"/>
  <c r="B8" i="3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7" i="3"/>
  <c r="B6" i="3"/>
  <c r="H5" i="3"/>
  <c r="F5" i="3"/>
  <c r="E5" i="3"/>
  <c r="G5" i="3" s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5" i="2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7" i="2"/>
  <c r="B6" i="2"/>
  <c r="H5" i="2"/>
  <c r="F5" i="2"/>
  <c r="E5" i="2"/>
  <c r="G5" i="2" s="1"/>
  <c r="G5" i="12" l="1"/>
  <c r="G5" i="11"/>
  <c r="G5" i="10"/>
  <c r="C6" i="8"/>
  <c r="G5" i="8"/>
  <c r="F5" i="7"/>
  <c r="G5" i="6"/>
  <c r="C6" i="6"/>
  <c r="C6" i="4"/>
  <c r="D6" i="4"/>
  <c r="H6" i="4" s="1"/>
  <c r="D6" i="3"/>
  <c r="C6" i="3"/>
  <c r="D6" i="2"/>
  <c r="H6" i="2" s="1"/>
  <c r="C6" i="2"/>
  <c r="D6" i="12" l="1"/>
  <c r="H5" i="12"/>
  <c r="H5" i="11"/>
  <c r="D6" i="11"/>
  <c r="H5" i="10"/>
  <c r="D6" i="10"/>
  <c r="E6" i="8"/>
  <c r="D6" i="8"/>
  <c r="F6" i="8" s="1"/>
  <c r="G5" i="7"/>
  <c r="C6" i="7"/>
  <c r="E6" i="6"/>
  <c r="D6" i="6"/>
  <c r="E6" i="4"/>
  <c r="G6" i="4" s="1"/>
  <c r="F6" i="4"/>
  <c r="E6" i="3"/>
  <c r="G6" i="3" s="1"/>
  <c r="F6" i="3"/>
  <c r="H6" i="3"/>
  <c r="E6" i="2"/>
  <c r="G6" i="2" s="1"/>
  <c r="F6" i="2"/>
  <c r="F6" i="12" l="1"/>
  <c r="C7" i="12"/>
  <c r="G6" i="12"/>
  <c r="C7" i="11"/>
  <c r="F6" i="11"/>
  <c r="C7" i="10"/>
  <c r="F6" i="10"/>
  <c r="C7" i="8"/>
  <c r="G6" i="8"/>
  <c r="E6" i="7"/>
  <c r="D6" i="7"/>
  <c r="F6" i="6"/>
  <c r="D7" i="4"/>
  <c r="C7" i="4"/>
  <c r="D7" i="3"/>
  <c r="C7" i="3"/>
  <c r="D7" i="2"/>
  <c r="C7" i="2"/>
  <c r="D7" i="12" l="1"/>
  <c r="H6" i="12"/>
  <c r="E7" i="12"/>
  <c r="E7" i="11"/>
  <c r="G6" i="11"/>
  <c r="E7" i="10"/>
  <c r="G6" i="10"/>
  <c r="D7" i="8"/>
  <c r="F7" i="8" s="1"/>
  <c r="E7" i="8"/>
  <c r="F6" i="7"/>
  <c r="G6" i="6"/>
  <c r="C7" i="6"/>
  <c r="F7" i="4"/>
  <c r="E7" i="4"/>
  <c r="G7" i="4" s="1"/>
  <c r="H7" i="4"/>
  <c r="E7" i="3"/>
  <c r="G7" i="3" s="1"/>
  <c r="F7" i="3"/>
  <c r="H7" i="3"/>
  <c r="F7" i="2"/>
  <c r="E7" i="2"/>
  <c r="G7" i="2" s="1"/>
  <c r="H7" i="2"/>
  <c r="F7" i="12" l="1"/>
  <c r="C8" i="12"/>
  <c r="H6" i="11"/>
  <c r="D7" i="11"/>
  <c r="D7" i="10"/>
  <c r="H6" i="10"/>
  <c r="C8" i="8"/>
  <c r="G7" i="8"/>
  <c r="C7" i="7"/>
  <c r="G6" i="7"/>
  <c r="E7" i="6"/>
  <c r="D7" i="6"/>
  <c r="D8" i="4"/>
  <c r="C8" i="4"/>
  <c r="C8" i="3"/>
  <c r="D8" i="3"/>
  <c r="H8" i="3" s="1"/>
  <c r="C8" i="2"/>
  <c r="D8" i="2"/>
  <c r="H8" i="2" s="1"/>
  <c r="E8" i="12" l="1"/>
  <c r="G7" i="12"/>
  <c r="C8" i="11"/>
  <c r="F7" i="11"/>
  <c r="C8" i="10"/>
  <c r="F7" i="10"/>
  <c r="D8" i="8"/>
  <c r="E8" i="8"/>
  <c r="D7" i="7"/>
  <c r="E7" i="7"/>
  <c r="F7" i="7"/>
  <c r="F7" i="6"/>
  <c r="F8" i="4"/>
  <c r="E8" i="4"/>
  <c r="G8" i="4" s="1"/>
  <c r="H8" i="4"/>
  <c r="F8" i="3"/>
  <c r="E8" i="3"/>
  <c r="G8" i="3" s="1"/>
  <c r="F8" i="2"/>
  <c r="E8" i="2"/>
  <c r="G8" i="2" s="1"/>
  <c r="D8" i="12" l="1"/>
  <c r="H7" i="12"/>
  <c r="E8" i="11"/>
  <c r="G7" i="11"/>
  <c r="E8" i="10"/>
  <c r="G7" i="10"/>
  <c r="F8" i="8"/>
  <c r="C8" i="7"/>
  <c r="G7" i="7"/>
  <c r="C8" i="6"/>
  <c r="G7" i="6"/>
  <c r="D9" i="4"/>
  <c r="C9" i="4"/>
  <c r="D9" i="3"/>
  <c r="C9" i="3"/>
  <c r="D9" i="2"/>
  <c r="C9" i="2"/>
  <c r="C9" i="12" l="1"/>
  <c r="F8" i="12"/>
  <c r="D8" i="11"/>
  <c r="H7" i="11"/>
  <c r="H7" i="10"/>
  <c r="D8" i="10"/>
  <c r="G8" i="8"/>
  <c r="C9" i="8"/>
  <c r="D8" i="7"/>
  <c r="E8" i="7"/>
  <c r="E8" i="6"/>
  <c r="D8" i="6"/>
  <c r="E9" i="4"/>
  <c r="G9" i="4" s="1"/>
  <c r="F9" i="4"/>
  <c r="H9" i="4"/>
  <c r="E9" i="3"/>
  <c r="G9" i="3" s="1"/>
  <c r="F9" i="3"/>
  <c r="H9" i="3"/>
  <c r="E9" i="2"/>
  <c r="G9" i="2" s="1"/>
  <c r="F9" i="2"/>
  <c r="H9" i="2"/>
  <c r="E9" i="12" l="1"/>
  <c r="G8" i="12"/>
  <c r="F8" i="11"/>
  <c r="C9" i="11"/>
  <c r="C9" i="10"/>
  <c r="F8" i="10"/>
  <c r="E9" i="8"/>
  <c r="D9" i="8"/>
  <c r="F8" i="7"/>
  <c r="F8" i="6"/>
  <c r="D10" i="4"/>
  <c r="C10" i="4"/>
  <c r="D10" i="3"/>
  <c r="C10" i="3"/>
  <c r="C10" i="2"/>
  <c r="D10" i="2"/>
  <c r="H10" i="2" s="1"/>
  <c r="D9" i="12" l="1"/>
  <c r="H8" i="12"/>
  <c r="E9" i="11"/>
  <c r="G8" i="11"/>
  <c r="C37" i="1"/>
  <c r="E9" i="10"/>
  <c r="G8" i="10"/>
  <c r="F9" i="8"/>
  <c r="G9" i="8" s="1"/>
  <c r="C9" i="7"/>
  <c r="G8" i="7"/>
  <c r="C9" i="6"/>
  <c r="G8" i="6"/>
  <c r="F10" i="4"/>
  <c r="E10" i="4"/>
  <c r="G10" i="4" s="1"/>
  <c r="H10" i="4"/>
  <c r="E10" i="3"/>
  <c r="G10" i="3" s="1"/>
  <c r="F10" i="3"/>
  <c r="H10" i="3"/>
  <c r="E10" i="2"/>
  <c r="G10" i="2" s="1"/>
  <c r="F10" i="2"/>
  <c r="F9" i="12" l="1"/>
  <c r="C10" i="12"/>
  <c r="H8" i="11"/>
  <c r="D9" i="11"/>
  <c r="D37" i="1"/>
  <c r="H8" i="10"/>
  <c r="D9" i="10"/>
  <c r="E9" i="7"/>
  <c r="D9" i="7"/>
  <c r="D9" i="6"/>
  <c r="E9" i="6"/>
  <c r="F9" i="6" s="1"/>
  <c r="D11" i="4"/>
  <c r="C11" i="4"/>
  <c r="C11" i="3"/>
  <c r="D11" i="3"/>
  <c r="H11" i="3" s="1"/>
  <c r="D11" i="2"/>
  <c r="C11" i="2"/>
  <c r="C38" i="1"/>
  <c r="E10" i="12" l="1"/>
  <c r="G9" i="12"/>
  <c r="C40" i="1"/>
  <c r="F9" i="11"/>
  <c r="C10" i="10"/>
  <c r="F9" i="10"/>
  <c r="G9" i="10" s="1"/>
  <c r="F9" i="7"/>
  <c r="G9" i="7" s="1"/>
  <c r="C10" i="6"/>
  <c r="G9" i="6"/>
  <c r="F11" i="4"/>
  <c r="E11" i="4"/>
  <c r="G11" i="4" s="1"/>
  <c r="H11" i="4"/>
  <c r="F11" i="3"/>
  <c r="E11" i="3"/>
  <c r="G11" i="3" s="1"/>
  <c r="F11" i="2"/>
  <c r="E11" i="2"/>
  <c r="G11" i="2" s="1"/>
  <c r="H11" i="2"/>
  <c r="H9" i="12" l="1"/>
  <c r="D10" i="12"/>
  <c r="G9" i="11"/>
  <c r="H9" i="11" s="1"/>
  <c r="H9" i="10"/>
  <c r="D10" i="10"/>
  <c r="E10" i="10"/>
  <c r="D10" i="6"/>
  <c r="E10" i="6"/>
  <c r="F10" i="6" s="1"/>
  <c r="D12" i="4"/>
  <c r="C12" i="4"/>
  <c r="D12" i="3"/>
  <c r="C12" i="3"/>
  <c r="D12" i="2"/>
  <c r="C12" i="2"/>
  <c r="F10" i="12" l="1"/>
  <c r="D40" i="1"/>
  <c r="C11" i="10"/>
  <c r="F10" i="10"/>
  <c r="G10" i="10"/>
  <c r="C11" i="6"/>
  <c r="G10" i="6"/>
  <c r="E12" i="4"/>
  <c r="G12" i="4" s="1"/>
  <c r="F12" i="4"/>
  <c r="H12" i="4"/>
  <c r="E12" i="3"/>
  <c r="G12" i="3" s="1"/>
  <c r="F12" i="3"/>
  <c r="H12" i="3"/>
  <c r="E12" i="2"/>
  <c r="G12" i="2" s="1"/>
  <c r="F12" i="2"/>
  <c r="H12" i="2"/>
  <c r="C41" i="1"/>
  <c r="G10" i="12" l="1"/>
  <c r="H10" i="12" s="1"/>
  <c r="H10" i="10"/>
  <c r="D11" i="10"/>
  <c r="E11" i="10"/>
  <c r="E11" i="6"/>
  <c r="D11" i="6"/>
  <c r="D13" i="4"/>
  <c r="C13" i="4"/>
  <c r="D13" i="3"/>
  <c r="C13" i="3"/>
  <c r="D13" i="2"/>
  <c r="C13" i="2"/>
  <c r="F11" i="10" l="1"/>
  <c r="C12" i="10"/>
  <c r="F11" i="6"/>
  <c r="G11" i="6" s="1"/>
  <c r="F13" i="4"/>
  <c r="E13" i="4"/>
  <c r="G13" i="4" s="1"/>
  <c r="H13" i="4"/>
  <c r="E13" i="3"/>
  <c r="G13" i="3" s="1"/>
  <c r="F13" i="3"/>
  <c r="H13" i="3"/>
  <c r="E13" i="2"/>
  <c r="G13" i="2" s="1"/>
  <c r="F13" i="2"/>
  <c r="H13" i="2"/>
  <c r="E12" i="10" l="1"/>
  <c r="G11" i="10"/>
  <c r="D14" i="4"/>
  <c r="H14" i="4" s="1"/>
  <c r="C14" i="4"/>
  <c r="D14" i="3"/>
  <c r="C14" i="3"/>
  <c r="D14" i="2"/>
  <c r="C14" i="2"/>
  <c r="H11" i="10" l="1"/>
  <c r="D12" i="10"/>
  <c r="E14" i="4"/>
  <c r="G14" i="4" s="1"/>
  <c r="F14" i="4"/>
  <c r="E14" i="3"/>
  <c r="G14" i="3" s="1"/>
  <c r="F14" i="3"/>
  <c r="H14" i="3"/>
  <c r="F14" i="2"/>
  <c r="E14" i="2"/>
  <c r="G14" i="2" s="1"/>
  <c r="H14" i="2"/>
  <c r="C13" i="10" l="1"/>
  <c r="F12" i="10"/>
  <c r="D15" i="4"/>
  <c r="C15" i="4"/>
  <c r="D15" i="3"/>
  <c r="C15" i="3"/>
  <c r="D15" i="2"/>
  <c r="C15" i="2"/>
  <c r="E13" i="10" l="1"/>
  <c r="G12" i="10"/>
  <c r="E15" i="4"/>
  <c r="G15" i="4" s="1"/>
  <c r="F15" i="4"/>
  <c r="H15" i="4"/>
  <c r="E15" i="3"/>
  <c r="G15" i="3" s="1"/>
  <c r="F15" i="3"/>
  <c r="H15" i="3"/>
  <c r="E15" i="2"/>
  <c r="G15" i="2" s="1"/>
  <c r="F15" i="2"/>
  <c r="H15" i="2"/>
  <c r="D13" i="10" l="1"/>
  <c r="H12" i="10"/>
  <c r="D16" i="4"/>
  <c r="C16" i="4"/>
  <c r="D16" i="3"/>
  <c r="C16" i="3"/>
  <c r="D16" i="2"/>
  <c r="C16" i="2"/>
  <c r="F13" i="10" l="1"/>
  <c r="G13" i="10"/>
  <c r="C14" i="10"/>
  <c r="F16" i="4"/>
  <c r="E16" i="4"/>
  <c r="G16" i="4" s="1"/>
  <c r="H16" i="4"/>
  <c r="E16" i="3"/>
  <c r="G16" i="3" s="1"/>
  <c r="F16" i="3"/>
  <c r="H16" i="3"/>
  <c r="E16" i="2"/>
  <c r="G16" i="2" s="1"/>
  <c r="F16" i="2"/>
  <c r="H16" i="2"/>
  <c r="D14" i="10" l="1"/>
  <c r="H13" i="10"/>
  <c r="E14" i="10"/>
  <c r="C30" i="1"/>
  <c r="C17" i="4"/>
  <c r="D17" i="4"/>
  <c r="H17" i="4" s="1"/>
  <c r="C17" i="3"/>
  <c r="D17" i="3"/>
  <c r="H17" i="3" s="1"/>
  <c r="D17" i="2"/>
  <c r="C17" i="2"/>
  <c r="F14" i="10" l="1"/>
  <c r="D30" i="1"/>
  <c r="F17" i="4"/>
  <c r="E17" i="4"/>
  <c r="G17" i="4" s="1"/>
  <c r="E17" i="3"/>
  <c r="G17" i="3" s="1"/>
  <c r="F17" i="3"/>
  <c r="F17" i="2"/>
  <c r="E17" i="2"/>
  <c r="G17" i="2" s="1"/>
  <c r="H17" i="2"/>
  <c r="G14" i="10" l="1"/>
  <c r="H14" i="10" s="1"/>
  <c r="C34" i="1"/>
  <c r="C24" i="1"/>
  <c r="D18" i="4"/>
  <c r="C18" i="4"/>
  <c r="D18" i="3"/>
  <c r="C18" i="3"/>
  <c r="D18" i="2"/>
  <c r="C18" i="2"/>
  <c r="D24" i="1" l="1"/>
  <c r="E18" i="4"/>
  <c r="G18" i="4" s="1"/>
  <c r="F18" i="4"/>
  <c r="H18" i="4"/>
  <c r="E18" i="3"/>
  <c r="G18" i="3" s="1"/>
  <c r="F18" i="3"/>
  <c r="H18" i="3"/>
  <c r="E18" i="2"/>
  <c r="G18" i="2" s="1"/>
  <c r="F18" i="2"/>
  <c r="H18" i="2"/>
  <c r="D34" i="1" l="1"/>
  <c r="C27" i="1"/>
  <c r="D19" i="4"/>
  <c r="C19" i="4"/>
  <c r="D19" i="3"/>
  <c r="C19" i="3"/>
  <c r="D19" i="2"/>
  <c r="C19" i="2"/>
  <c r="C35" i="1" l="1"/>
  <c r="C28" i="1"/>
  <c r="D27" i="1"/>
  <c r="F19" i="4"/>
  <c r="E19" i="4"/>
  <c r="G19" i="4" s="1"/>
  <c r="H19" i="4"/>
  <c r="E19" i="3"/>
  <c r="G19" i="3" s="1"/>
  <c r="F19" i="3"/>
  <c r="H19" i="3"/>
  <c r="E19" i="2"/>
  <c r="G19" i="2" s="1"/>
  <c r="F19" i="2"/>
  <c r="H19" i="2"/>
  <c r="C31" i="1"/>
  <c r="C25" i="1" l="1"/>
  <c r="D20" i="4"/>
  <c r="C20" i="4"/>
  <c r="C20" i="3"/>
  <c r="D20" i="3"/>
  <c r="H20" i="3" s="1"/>
  <c r="C20" i="2"/>
  <c r="D20" i="2"/>
  <c r="H20" i="2" s="1"/>
  <c r="F20" i="4" l="1"/>
  <c r="E20" i="4"/>
  <c r="G20" i="4" s="1"/>
  <c r="H20" i="4"/>
  <c r="F20" i="3"/>
  <c r="E20" i="3"/>
  <c r="G20" i="3" s="1"/>
  <c r="F20" i="2"/>
  <c r="E20" i="2"/>
  <c r="G20" i="2" s="1"/>
  <c r="D21" i="4" l="1"/>
  <c r="C21" i="4"/>
  <c r="D21" i="3"/>
  <c r="C21" i="3"/>
  <c r="D21" i="2"/>
  <c r="C21" i="2"/>
  <c r="E21" i="4" l="1"/>
  <c r="G21" i="4" s="1"/>
  <c r="F21" i="4"/>
  <c r="H21" i="4"/>
  <c r="E21" i="3"/>
  <c r="G21" i="3" s="1"/>
  <c r="F21" i="3"/>
  <c r="H21" i="3"/>
  <c r="E21" i="2"/>
  <c r="G21" i="2" s="1"/>
  <c r="F21" i="2"/>
  <c r="H21" i="2"/>
  <c r="D22" i="4" l="1"/>
  <c r="C22" i="4"/>
  <c r="D22" i="3"/>
  <c r="C22" i="3"/>
  <c r="D22" i="2"/>
  <c r="C22" i="2"/>
  <c r="F22" i="4" l="1"/>
  <c r="E22" i="4"/>
  <c r="G22" i="4" s="1"/>
  <c r="H22" i="4"/>
  <c r="E22" i="3"/>
  <c r="G22" i="3" s="1"/>
  <c r="F22" i="3"/>
  <c r="H22" i="3"/>
  <c r="E22" i="2"/>
  <c r="G22" i="2" s="1"/>
  <c r="F22" i="2"/>
  <c r="H22" i="2"/>
  <c r="C23" i="4" l="1"/>
  <c r="D23" i="4"/>
  <c r="H23" i="4" s="1"/>
  <c r="D23" i="3"/>
  <c r="C23" i="3"/>
  <c r="D23" i="2"/>
  <c r="C23" i="2"/>
  <c r="E23" i="4" l="1"/>
  <c r="G23" i="4" s="1"/>
  <c r="F23" i="4"/>
  <c r="E23" i="3"/>
  <c r="G23" i="3" s="1"/>
  <c r="F23" i="3"/>
  <c r="H23" i="3"/>
  <c r="F23" i="2"/>
  <c r="E23" i="2"/>
  <c r="G23" i="2" s="1"/>
  <c r="H23" i="2"/>
  <c r="D24" i="4" l="1"/>
  <c r="C24" i="4"/>
  <c r="D24" i="3"/>
  <c r="C24" i="3"/>
  <c r="D24" i="2"/>
  <c r="C24" i="2"/>
  <c r="E24" i="4" l="1"/>
  <c r="G24" i="4" s="1"/>
  <c r="F24" i="4"/>
  <c r="H24" i="4"/>
  <c r="E24" i="3"/>
  <c r="G24" i="3" s="1"/>
  <c r="F24" i="3"/>
  <c r="H24" i="3"/>
  <c r="E24" i="2"/>
  <c r="G24" i="2" s="1"/>
  <c r="F24" i="2"/>
  <c r="H24" i="2"/>
  <c r="D25" i="4" l="1"/>
  <c r="C25" i="4"/>
  <c r="C25" i="3"/>
  <c r="D25" i="3"/>
  <c r="H25" i="3" s="1"/>
  <c r="C25" i="2"/>
  <c r="D25" i="2"/>
  <c r="H25" i="2" s="1"/>
  <c r="E25" i="4" l="1"/>
  <c r="G25" i="4" s="1"/>
  <c r="F25" i="4"/>
  <c r="H25" i="4"/>
  <c r="E25" i="3"/>
  <c r="G25" i="3" s="1"/>
  <c r="F25" i="3"/>
  <c r="E25" i="2"/>
  <c r="G25" i="2" s="1"/>
  <c r="F25" i="2"/>
  <c r="C20" i="1" l="1"/>
  <c r="C17" i="1"/>
  <c r="D20" i="1" l="1"/>
  <c r="D17" i="1"/>
  <c r="C14" i="1" l="1"/>
  <c r="C18" i="1" l="1"/>
  <c r="D14" i="1"/>
  <c r="C15" i="1"/>
  <c r="C21" i="1" l="1"/>
</calcChain>
</file>

<file path=xl/sharedStrings.xml><?xml version="1.0" encoding="utf-8"?>
<sst xmlns="http://schemas.openxmlformats.org/spreadsheetml/2006/main" count="133" uniqueCount="35">
  <si>
    <t>MÉTODO DE BISCECCIÓN - PROBLEMA 3</t>
  </si>
  <si>
    <t>Ecuación: x³ - x²e^(-0.5x) - 3x = -1</t>
  </si>
  <si>
    <t>PARÁMETROS:</t>
  </si>
  <si>
    <t>Tolerancia (TOL):</t>
  </si>
  <si>
    <t>Máx iteraciones:</t>
  </si>
  <si>
    <t>Función f(x):</t>
  </si>
  <si>
    <t>"=3*SENO(0.5*x) - 0.5*x + 2"</t>
  </si>
  <si>
    <t>RESULTADOS FINALES</t>
  </si>
  <si>
    <t>Raíz</t>
  </si>
  <si>
    <t>Error</t>
  </si>
  <si>
    <t>METODO DE LA BISCECCIÓN</t>
  </si>
  <si>
    <t>RAÍZ 1:</t>
  </si>
  <si>
    <t>Iteraciones:</t>
  </si>
  <si>
    <t>RAÍZ 2:</t>
  </si>
  <si>
    <t>RAÍZ 3:</t>
  </si>
  <si>
    <t>MÉTODO NEWTON RAPHSON</t>
  </si>
  <si>
    <t>MÉTODO DE LA SECANTE</t>
  </si>
  <si>
    <t>MÉTODO DE BISCECCIÓN</t>
  </si>
  <si>
    <t>a</t>
  </si>
  <si>
    <t>b</t>
  </si>
  <si>
    <t>c</t>
  </si>
  <si>
    <t>f(a)</t>
  </si>
  <si>
    <t>f(c)</t>
  </si>
  <si>
    <t>ITERACIONES</t>
  </si>
  <si>
    <t>¿se debe parar?</t>
  </si>
  <si>
    <t>MÉTODO DE BISECCIÓN</t>
  </si>
  <si>
    <t>RESULTADOS PROBLEMA 3</t>
  </si>
  <si>
    <t>MÉTODO DE NEWTON RAPHSON</t>
  </si>
  <si>
    <t>x_n</t>
  </si>
  <si>
    <t>f(x_n)</t>
  </si>
  <si>
    <t>f'(x_n)</t>
  </si>
  <si>
    <t>x_n+1</t>
  </si>
  <si>
    <t>x_n-1</t>
  </si>
  <si>
    <t>f(x_n-1)</t>
  </si>
  <si>
    <t>RESULTADOS PROBLEMA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</si>
</sst>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1" fontId="2" fillId="0" borderId="1" xfId="0" applyNumberFormat="1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92b85a41fbaaf1c/Documentos/metodos%20numericos/raices/M&#201;TODO_DE_RAICES/PROBLEMA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"/>
      <sheetName val="RAÍZ 1"/>
      <sheetName val="RAÍZ 2"/>
      <sheetName val="RAÍZ 3"/>
      <sheetName val="RESULTADOS"/>
      <sheetName val="NEWTON=-1.0"/>
      <sheetName val="NEWTON=0.5"/>
      <sheetName val="NEWTON=1.8"/>
      <sheetName val="RESULTADOS (2)"/>
      <sheetName val="SEC=-1.5,-0.5"/>
      <sheetName val="SEC=1,0"/>
      <sheetName val="SEC=1.5,2.0"/>
      <sheetName val="RESULTADOS (3)"/>
    </sheetNames>
    <sheetDataSet>
      <sheetData sheetId="0">
        <row r="7">
          <cell r="C7">
            <v>9.9999999999999995E-7</v>
          </cell>
        </row>
      </sheetData>
      <sheetData sheetId="1">
        <row r="5">
          <cell r="I5" t="str">
            <v>→</v>
          </cell>
        </row>
        <row r="6">
          <cell r="I6" t="str">
            <v>→</v>
          </cell>
        </row>
        <row r="7">
          <cell r="I7" t="str">
            <v>→</v>
          </cell>
        </row>
        <row r="8">
          <cell r="I8" t="str">
            <v>→</v>
          </cell>
        </row>
        <row r="9">
          <cell r="I9" t="str">
            <v>→</v>
          </cell>
        </row>
        <row r="10">
          <cell r="I10" t="str">
            <v>→</v>
          </cell>
        </row>
        <row r="11">
          <cell r="I11" t="str">
            <v>→</v>
          </cell>
        </row>
        <row r="12">
          <cell r="I12" t="str">
            <v>→</v>
          </cell>
        </row>
        <row r="13">
          <cell r="I13" t="str">
            <v>→</v>
          </cell>
        </row>
        <row r="14">
          <cell r="I14" t="str">
            <v>→</v>
          </cell>
        </row>
        <row r="15">
          <cell r="I15" t="str">
            <v>→</v>
          </cell>
        </row>
        <row r="16">
          <cell r="I16" t="str">
            <v>→</v>
          </cell>
        </row>
        <row r="17">
          <cell r="I17" t="str">
            <v>→</v>
          </cell>
        </row>
        <row r="18">
          <cell r="I18" t="str">
            <v>→</v>
          </cell>
        </row>
        <row r="19">
          <cell r="I19" t="str">
            <v>→</v>
          </cell>
        </row>
        <row r="20">
          <cell r="I20" t="str">
            <v>→</v>
          </cell>
        </row>
        <row r="21">
          <cell r="I21" t="str">
            <v>→</v>
          </cell>
        </row>
        <row r="22">
          <cell r="I22" t="str">
            <v>→</v>
          </cell>
        </row>
        <row r="23">
          <cell r="I23" t="str">
            <v>→</v>
          </cell>
        </row>
        <row r="24">
          <cell r="E24">
            <v>-1.2340936660766602</v>
          </cell>
          <cell r="G24">
            <v>-2.9526938138957348E-6</v>
          </cell>
          <cell r="I24" t="str">
            <v>✓</v>
          </cell>
        </row>
      </sheetData>
      <sheetData sheetId="2">
        <row r="4">
          <cell r="I4" t="str">
            <v>¿Parar?</v>
          </cell>
        </row>
        <row r="5">
          <cell r="I5" t="str">
            <v>→</v>
          </cell>
        </row>
        <row r="6">
          <cell r="I6" t="str">
            <v>→</v>
          </cell>
        </row>
        <row r="7">
          <cell r="I7" t="str">
            <v>→</v>
          </cell>
        </row>
        <row r="8">
          <cell r="I8" t="str">
            <v>→</v>
          </cell>
        </row>
        <row r="9">
          <cell r="I9" t="str">
            <v>→</v>
          </cell>
        </row>
        <row r="10">
          <cell r="I10" t="str">
            <v>→</v>
          </cell>
        </row>
        <row r="11">
          <cell r="I11" t="str">
            <v>→</v>
          </cell>
        </row>
        <row r="12">
          <cell r="I12" t="str">
            <v>→</v>
          </cell>
        </row>
        <row r="13">
          <cell r="I13" t="str">
            <v>→</v>
          </cell>
        </row>
        <row r="14">
          <cell r="I14" t="str">
            <v>→</v>
          </cell>
        </row>
        <row r="15">
          <cell r="I15" t="str">
            <v>→</v>
          </cell>
        </row>
        <row r="16">
          <cell r="I16" t="str">
            <v>→</v>
          </cell>
        </row>
        <row r="17">
          <cell r="I17" t="str">
            <v>→</v>
          </cell>
        </row>
        <row r="18">
          <cell r="I18" t="str">
            <v>→</v>
          </cell>
        </row>
        <row r="19">
          <cell r="I19" t="str">
            <v>→</v>
          </cell>
        </row>
        <row r="20">
          <cell r="I20" t="str">
            <v>→</v>
          </cell>
        </row>
        <row r="21">
          <cell r="I21" t="str">
            <v>→</v>
          </cell>
        </row>
        <row r="22">
          <cell r="I22" t="str">
            <v>→</v>
          </cell>
        </row>
        <row r="23">
          <cell r="E23">
            <v>0.31546592712402344</v>
          </cell>
          <cell r="G23">
            <v>2.3553904537898518E-7</v>
          </cell>
          <cell r="I23" t="str">
            <v>✓</v>
          </cell>
        </row>
        <row r="24">
          <cell r="E24">
            <v>0.31546688079833984</v>
          </cell>
          <cell r="G24">
            <v>-2.814130159345396E-6</v>
          </cell>
          <cell r="I24" t="str">
            <v>✓</v>
          </cell>
        </row>
        <row r="25">
          <cell r="I25" t="str">
            <v>✓</v>
          </cell>
        </row>
      </sheetData>
      <sheetData sheetId="3">
        <row r="4">
          <cell r="I4" t="str">
            <v>¿Parar?</v>
          </cell>
        </row>
        <row r="5">
          <cell r="I5" t="str">
            <v>→</v>
          </cell>
        </row>
        <row r="6">
          <cell r="I6" t="str">
            <v>→</v>
          </cell>
        </row>
        <row r="7">
          <cell r="I7" t="str">
            <v>→</v>
          </cell>
        </row>
        <row r="8">
          <cell r="I8" t="str">
            <v>→</v>
          </cell>
        </row>
        <row r="9">
          <cell r="I9" t="str">
            <v>→</v>
          </cell>
        </row>
        <row r="10">
          <cell r="I10" t="str">
            <v>→</v>
          </cell>
        </row>
        <row r="11">
          <cell r="I11" t="str">
            <v>→</v>
          </cell>
        </row>
        <row r="12">
          <cell r="I12" t="str">
            <v>→</v>
          </cell>
        </row>
        <row r="13">
          <cell r="I13" t="str">
            <v>→</v>
          </cell>
        </row>
        <row r="14">
          <cell r="I14" t="str">
            <v>→</v>
          </cell>
        </row>
        <row r="15">
          <cell r="I15" t="str">
            <v>→</v>
          </cell>
        </row>
        <row r="16">
          <cell r="I16" t="str">
            <v>→</v>
          </cell>
        </row>
        <row r="17">
          <cell r="I17" t="str">
            <v>→</v>
          </cell>
        </row>
        <row r="18">
          <cell r="I18" t="str">
            <v>→</v>
          </cell>
        </row>
        <row r="19">
          <cell r="I19" t="str">
            <v>→</v>
          </cell>
        </row>
        <row r="20">
          <cell r="I20" t="str">
            <v>→</v>
          </cell>
        </row>
        <row r="21">
          <cell r="I21" t="str">
            <v>→</v>
          </cell>
        </row>
        <row r="22">
          <cell r="I22" t="str">
            <v>→</v>
          </cell>
        </row>
        <row r="23">
          <cell r="E23">
            <v>1.7802400588989258</v>
          </cell>
          <cell r="G23">
            <v>-2.516497151106023E-6</v>
          </cell>
          <cell r="I23" t="str">
            <v>✓</v>
          </cell>
        </row>
        <row r="24">
          <cell r="E24">
            <v>1.780240535736084</v>
          </cell>
          <cell r="G24">
            <v>1.9979079457499438E-7</v>
          </cell>
          <cell r="I24" t="str">
            <v>✓</v>
          </cell>
        </row>
        <row r="25">
          <cell r="I25" t="str">
            <v>✓</v>
          </cell>
        </row>
      </sheetData>
      <sheetData sheetId="4" refreshError="1"/>
      <sheetData sheetId="5">
        <row r="4">
          <cell r="H4" t="str">
            <v>¿Parar?</v>
          </cell>
        </row>
        <row r="5">
          <cell r="H5" t="str">
            <v>→</v>
          </cell>
        </row>
        <row r="6">
          <cell r="H6" t="str">
            <v>→</v>
          </cell>
        </row>
        <row r="7">
          <cell r="H7" t="str">
            <v>→</v>
          </cell>
        </row>
        <row r="8">
          <cell r="F8">
            <v>-1.2340932812452379</v>
          </cell>
          <cell r="G8">
            <v>7.4337242611299814E-5</v>
          </cell>
          <cell r="H8" t="str">
            <v>→</v>
          </cell>
        </row>
        <row r="9">
          <cell r="F9">
            <v>-1.2340932752501528</v>
          </cell>
          <cell r="G9">
            <v>5.9950850950230006E-9</v>
          </cell>
          <cell r="H9" t="str">
            <v>✓</v>
          </cell>
        </row>
        <row r="10">
          <cell r="H10" t="str">
            <v>✓</v>
          </cell>
        </row>
        <row r="11">
          <cell r="H11" t="str">
            <v>✓</v>
          </cell>
        </row>
      </sheetData>
      <sheetData sheetId="6">
        <row r="4">
          <cell r="H4" t="str">
            <v>¿Parar?</v>
          </cell>
        </row>
        <row r="5">
          <cell r="H5" t="str">
            <v>→</v>
          </cell>
        </row>
        <row r="6">
          <cell r="H6" t="str">
            <v>→</v>
          </cell>
        </row>
        <row r="7">
          <cell r="H7" t="str">
            <v>→</v>
          </cell>
        </row>
        <row r="8">
          <cell r="F8">
            <v>0.31546600078037806</v>
          </cell>
          <cell r="G8">
            <v>1.0407841255499761E-11</v>
          </cell>
          <cell r="H8" t="str">
            <v>✓</v>
          </cell>
        </row>
        <row r="9">
          <cell r="H9" t="str">
            <v>✓</v>
          </cell>
        </row>
      </sheetData>
      <sheetData sheetId="7">
        <row r="4">
          <cell r="H4" t="str">
            <v>¿Parar?</v>
          </cell>
        </row>
        <row r="5">
          <cell r="H5" t="str">
            <v>→</v>
          </cell>
        </row>
        <row r="6">
          <cell r="H6" t="str">
            <v>→</v>
          </cell>
        </row>
        <row r="7">
          <cell r="F7">
            <v>1.7802405006633699</v>
          </cell>
          <cell r="G7">
            <v>1.289980831042925E-7</v>
          </cell>
          <cell r="H7" t="str">
            <v>✓</v>
          </cell>
        </row>
        <row r="8">
          <cell r="F8">
            <v>1.7802405006633539</v>
          </cell>
          <cell r="G8">
            <v>1.5987211554602254E-14</v>
          </cell>
          <cell r="H8" t="str">
            <v>✓</v>
          </cell>
        </row>
        <row r="9">
          <cell r="H9" t="str">
            <v>✓</v>
          </cell>
        </row>
      </sheetData>
      <sheetData sheetId="8" refreshError="1"/>
      <sheetData sheetId="9">
        <row r="4">
          <cell r="I4" t="str">
            <v>¿Parar?</v>
          </cell>
        </row>
        <row r="5">
          <cell r="I5" t="str">
            <v>→</v>
          </cell>
        </row>
        <row r="6">
          <cell r="I6" t="str">
            <v>→</v>
          </cell>
        </row>
        <row r="7">
          <cell r="I7" t="str">
            <v>→</v>
          </cell>
        </row>
        <row r="8">
          <cell r="I8" t="str">
            <v>→</v>
          </cell>
        </row>
        <row r="9">
          <cell r="I9" t="str">
            <v>→</v>
          </cell>
        </row>
        <row r="10">
          <cell r="I10" t="str">
            <v>→</v>
          </cell>
        </row>
        <row r="11">
          <cell r="I11" t="str">
            <v>→</v>
          </cell>
        </row>
        <row r="12">
          <cell r="I12" t="str">
            <v>→</v>
          </cell>
        </row>
        <row r="13">
          <cell r="I13" t="str">
            <v>→</v>
          </cell>
        </row>
        <row r="14">
          <cell r="D14">
            <v>-1.2340932740890425</v>
          </cell>
          <cell r="H14">
            <v>1.1611065442451718E-9</v>
          </cell>
          <cell r="I14" t="str">
            <v>✓</v>
          </cell>
        </row>
      </sheetData>
      <sheetData sheetId="10">
        <row r="4">
          <cell r="I4" t="str">
            <v>¿Parar?</v>
          </cell>
        </row>
        <row r="5">
          <cell r="I5" t="str">
            <v>→</v>
          </cell>
        </row>
        <row r="6">
          <cell r="I6" t="str">
            <v>→</v>
          </cell>
        </row>
        <row r="7">
          <cell r="I7" t="str">
            <v>→</v>
          </cell>
        </row>
        <row r="8">
          <cell r="D8">
            <v>0.31570597492030045</v>
          </cell>
          <cell r="H8">
            <v>2.3932702041085108E-4</v>
          </cell>
          <cell r="I8" t="str">
            <v>→</v>
          </cell>
        </row>
        <row r="9">
          <cell r="D9">
            <v>0.3154666478998896</v>
          </cell>
          <cell r="H9">
            <v>6.4713657937920388E-7</v>
          </cell>
          <cell r="I9" t="str">
            <v>✓</v>
          </cell>
        </row>
      </sheetData>
      <sheetData sheetId="11">
        <row r="4">
          <cell r="I4" t="str">
            <v>¿Parar?</v>
          </cell>
        </row>
        <row r="5">
          <cell r="I5" t="str">
            <v>→</v>
          </cell>
        </row>
        <row r="6">
          <cell r="I6" t="str">
            <v>→</v>
          </cell>
        </row>
        <row r="7">
          <cell r="I7" t="str">
            <v>→</v>
          </cell>
        </row>
        <row r="8">
          <cell r="I8" t="str">
            <v>→</v>
          </cell>
        </row>
        <row r="9">
          <cell r="I9" t="str">
            <v>→</v>
          </cell>
        </row>
        <row r="10">
          <cell r="D10">
            <v>1.7802404948363257</v>
          </cell>
          <cell r="H10">
            <v>5.8270746006172658E-9</v>
          </cell>
          <cell r="I10" t="str">
            <v>✓</v>
          </cell>
        </row>
      </sheetData>
      <sheetData sheetId="1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5474E-410C-4114-A297-BE33019C4F5C}">
  <dimension ref="B3:E41"/>
  <sheetViews>
    <sheetView tabSelected="1" workbookViewId="0">
      <selection activeCell="O31" sqref="O31"/>
    </sheetView>
  </sheetViews>
  <sheetFormatPr baseColWidth="10" defaultRowHeight="15" x14ac:dyDescent="0.25"/>
  <cols>
    <col min="2" max="2" width="19.140625" customWidth="1"/>
  </cols>
  <sheetData>
    <row r="3" spans="2:5" x14ac:dyDescent="0.25">
      <c r="B3" s="8" t="s">
        <v>0</v>
      </c>
      <c r="C3" s="8"/>
      <c r="D3" s="8"/>
      <c r="E3" s="8"/>
    </row>
    <row r="4" spans="2:5" x14ac:dyDescent="0.25">
      <c r="B4" s="8" t="s">
        <v>1</v>
      </c>
      <c r="C4" s="8"/>
      <c r="D4" s="8"/>
      <c r="E4" s="8"/>
    </row>
    <row r="5" spans="2:5" x14ac:dyDescent="0.25">
      <c r="B5" s="1"/>
      <c r="C5" s="1"/>
      <c r="D5" s="1"/>
      <c r="E5" s="1"/>
    </row>
    <row r="6" spans="2:5" x14ac:dyDescent="0.25">
      <c r="B6" s="8" t="s">
        <v>2</v>
      </c>
      <c r="C6" s="8"/>
      <c r="D6" s="8"/>
      <c r="E6" s="1"/>
    </row>
    <row r="7" spans="2:5" x14ac:dyDescent="0.25">
      <c r="B7" s="3" t="s">
        <v>3</v>
      </c>
      <c r="C7" s="11">
        <v>9.9999999999999995E-7</v>
      </c>
      <c r="D7" s="12"/>
      <c r="E7" s="1"/>
    </row>
    <row r="8" spans="2:5" x14ac:dyDescent="0.25">
      <c r="B8" s="3" t="s">
        <v>4</v>
      </c>
      <c r="C8" s="11">
        <v>20</v>
      </c>
      <c r="D8" s="12"/>
      <c r="E8" s="1"/>
    </row>
    <row r="9" spans="2:5" x14ac:dyDescent="0.25">
      <c r="B9" s="12" t="s">
        <v>5</v>
      </c>
      <c r="C9" s="13" t="s">
        <v>6</v>
      </c>
      <c r="D9" s="13"/>
      <c r="E9" s="1"/>
    </row>
    <row r="10" spans="2:5" x14ac:dyDescent="0.25">
      <c r="B10" s="1"/>
      <c r="C10" s="1"/>
      <c r="D10" s="1"/>
      <c r="E10" s="1"/>
    </row>
    <row r="11" spans="2:5" x14ac:dyDescent="0.25">
      <c r="B11" s="14" t="s">
        <v>7</v>
      </c>
      <c r="C11" s="14"/>
      <c r="D11" s="14"/>
      <c r="E11" s="1"/>
    </row>
    <row r="12" spans="2:5" x14ac:dyDescent="0.25">
      <c r="B12" s="1"/>
      <c r="C12" s="1" t="s">
        <v>8</v>
      </c>
      <c r="D12" s="1" t="s">
        <v>9</v>
      </c>
      <c r="E12" s="1"/>
    </row>
    <row r="13" spans="2:5" x14ac:dyDescent="0.25">
      <c r="B13" s="8" t="s">
        <v>10</v>
      </c>
      <c r="C13" s="8"/>
      <c r="D13" s="8"/>
      <c r="E13" s="1"/>
    </row>
    <row r="14" spans="2:5" x14ac:dyDescent="0.25">
      <c r="B14" s="9" t="s">
        <v>11</v>
      </c>
      <c r="C14" s="4">
        <f>'[1]RAÍZ 1'!E24</f>
        <v>-1.2340936660766602</v>
      </c>
      <c r="D14" s="4">
        <f>'[1]RAÍZ 1'!G24</f>
        <v>-2.9526938138957348E-6</v>
      </c>
      <c r="E14" s="1"/>
    </row>
    <row r="15" spans="2:5" x14ac:dyDescent="0.25">
      <c r="B15" s="9" t="s">
        <v>12</v>
      </c>
      <c r="C15" s="4">
        <f>COUNTIF('[1]RAÍZ 1'!I5:I24,"→")+1</f>
        <v>20</v>
      </c>
      <c r="D15" s="4"/>
    </row>
    <row r="16" spans="2:5" x14ac:dyDescent="0.25">
      <c r="B16" s="2"/>
      <c r="C16" s="2"/>
      <c r="D16" s="2"/>
    </row>
    <row r="17" spans="2:4" x14ac:dyDescent="0.25">
      <c r="B17" s="3" t="s">
        <v>13</v>
      </c>
      <c r="C17" s="4">
        <f>'[1]RAÍZ 2'!E23</f>
        <v>0.31546592712402344</v>
      </c>
      <c r="D17" s="6">
        <f>'[1]RAÍZ 2'!G23</f>
        <v>2.3553904537898518E-7</v>
      </c>
    </row>
    <row r="18" spans="2:4" x14ac:dyDescent="0.25">
      <c r="B18" s="3" t="s">
        <v>12</v>
      </c>
      <c r="C18" s="6">
        <f>COUNTIF('[1]RAÍZ 2'!I4:I32,"→")+1</f>
        <v>19</v>
      </c>
      <c r="D18" s="4"/>
    </row>
    <row r="19" spans="2:4" x14ac:dyDescent="0.25">
      <c r="B19" s="2"/>
      <c r="C19" s="2"/>
      <c r="D19" s="2"/>
    </row>
    <row r="20" spans="2:4" x14ac:dyDescent="0.25">
      <c r="B20" s="3" t="s">
        <v>14</v>
      </c>
      <c r="C20" s="4">
        <f>'[1]RAÍZ 3'!E23</f>
        <v>1.7802400588989258</v>
      </c>
      <c r="D20" s="6">
        <f>'[1]RAÍZ 3'!G23</f>
        <v>-2.516497151106023E-6</v>
      </c>
    </row>
    <row r="21" spans="2:4" x14ac:dyDescent="0.25">
      <c r="B21" s="3" t="s">
        <v>12</v>
      </c>
      <c r="C21" s="6">
        <f>COUNTIF('[1]RAÍZ 3'!I4:I32,"→")+1</f>
        <v>19</v>
      </c>
      <c r="D21" s="4"/>
    </row>
    <row r="23" spans="2:4" x14ac:dyDescent="0.25">
      <c r="B23" s="8" t="s">
        <v>15</v>
      </c>
      <c r="C23" s="8"/>
      <c r="D23" s="8"/>
    </row>
    <row r="24" spans="2:4" x14ac:dyDescent="0.25">
      <c r="B24" s="9" t="s">
        <v>11</v>
      </c>
      <c r="C24" s="4">
        <f>'[1]NEWTON=-1.0'!F9</f>
        <v>-1.2340932752501528</v>
      </c>
      <c r="D24" s="10">
        <f>'[1]NEWTON=-1.0'!G9</f>
        <v>5.9950850950230006E-9</v>
      </c>
    </row>
    <row r="25" spans="2:4" x14ac:dyDescent="0.25">
      <c r="B25" s="9" t="s">
        <v>12</v>
      </c>
      <c r="C25" s="4">
        <f>COUNTIF('[1]NEWTON=-1.0'!H4:H22,"→")+1</f>
        <v>5</v>
      </c>
      <c r="D25" s="4"/>
    </row>
    <row r="26" spans="2:4" x14ac:dyDescent="0.25">
      <c r="B26" s="2"/>
      <c r="C26" s="2"/>
      <c r="D26" s="2"/>
    </row>
    <row r="27" spans="2:4" x14ac:dyDescent="0.25">
      <c r="B27" s="3" t="s">
        <v>13</v>
      </c>
      <c r="C27" s="4">
        <f>'[1]NEWTON=0.5'!F8</f>
        <v>0.31546600078037806</v>
      </c>
      <c r="D27" s="5">
        <f>'[1]NEWTON=0.5'!G8</f>
        <v>1.0407841255499761E-11</v>
      </c>
    </row>
    <row r="28" spans="2:4" x14ac:dyDescent="0.25">
      <c r="B28" s="3" t="s">
        <v>12</v>
      </c>
      <c r="C28" s="6">
        <f>COUNTIF('[1]NEWTON=0.5'!H4:H22,"→")+1</f>
        <v>4</v>
      </c>
      <c r="D28" s="4"/>
    </row>
    <row r="29" spans="2:4" x14ac:dyDescent="0.25">
      <c r="B29" s="2"/>
      <c r="C29" s="2"/>
      <c r="D29" s="2"/>
    </row>
    <row r="30" spans="2:4" x14ac:dyDescent="0.25">
      <c r="B30" s="3" t="s">
        <v>14</v>
      </c>
      <c r="C30" s="4">
        <f>'[1]NEWTON=1.8'!F7</f>
        <v>1.7802405006633699</v>
      </c>
      <c r="D30" s="5">
        <f>'[1]NEWTON=1.8'!G7</f>
        <v>1.289980831042925E-7</v>
      </c>
    </row>
    <row r="31" spans="2:4" x14ac:dyDescent="0.25">
      <c r="B31" s="3" t="s">
        <v>12</v>
      </c>
      <c r="C31" s="6">
        <f>COUNTIF('[1]NEWTON=1.8'!H4:H22,"→")+1</f>
        <v>3</v>
      </c>
      <c r="D31" s="4"/>
    </row>
    <row r="33" spans="2:4" x14ac:dyDescent="0.25">
      <c r="B33" s="8" t="s">
        <v>16</v>
      </c>
      <c r="C33" s="8"/>
      <c r="D33" s="8"/>
    </row>
    <row r="34" spans="2:4" x14ac:dyDescent="0.25">
      <c r="B34" s="9" t="s">
        <v>11</v>
      </c>
      <c r="C34" s="4">
        <f>'[1]SEC=-1.5,-0.5'!D14</f>
        <v>-1.2340932740890425</v>
      </c>
      <c r="D34" s="10">
        <f>'[1]SEC=-1.5,-0.5'!H14</f>
        <v>1.1611065442451718E-9</v>
      </c>
    </row>
    <row r="35" spans="2:4" x14ac:dyDescent="0.25">
      <c r="B35" s="9" t="s">
        <v>12</v>
      </c>
      <c r="C35" s="4">
        <f>COUNTIF('[1]SEC=-1.5,-0.5'!I4:I22,"→")+1</f>
        <v>10</v>
      </c>
      <c r="D35" s="4"/>
    </row>
    <row r="36" spans="2:4" x14ac:dyDescent="0.25">
      <c r="B36" s="7"/>
      <c r="C36" s="2"/>
      <c r="D36" s="2"/>
    </row>
    <row r="37" spans="2:4" x14ac:dyDescent="0.25">
      <c r="B37" s="3" t="s">
        <v>13</v>
      </c>
      <c r="C37" s="4">
        <f>'[1]SEC=1,0'!D9</f>
        <v>0.3154666478998896</v>
      </c>
      <c r="D37" s="5">
        <f>'[1]SEC=1,0'!H9</f>
        <v>6.4713657937920388E-7</v>
      </c>
    </row>
    <row r="38" spans="2:4" x14ac:dyDescent="0.25">
      <c r="B38" s="3" t="s">
        <v>12</v>
      </c>
      <c r="C38" s="6">
        <f>COUNTIF('[1]SEC=1,0'!I4:I22,"→")+1</f>
        <v>5</v>
      </c>
      <c r="D38" s="4"/>
    </row>
    <row r="39" spans="2:4" x14ac:dyDescent="0.25">
      <c r="B39" s="2"/>
      <c r="C39" s="2"/>
      <c r="D39" s="2"/>
    </row>
    <row r="40" spans="2:4" x14ac:dyDescent="0.25">
      <c r="B40" s="3" t="s">
        <v>13</v>
      </c>
      <c r="C40" s="4">
        <f>'[1]SEC=1.5,2.0'!D10</f>
        <v>1.7802404948363257</v>
      </c>
      <c r="D40" s="5">
        <f>'[1]SEC=1.5,2.0'!H10</f>
        <v>5.8270746006172658E-9</v>
      </c>
    </row>
    <row r="41" spans="2:4" x14ac:dyDescent="0.25">
      <c r="B41" s="3" t="s">
        <v>12</v>
      </c>
      <c r="C41" s="6">
        <f>COUNTIF('[1]SEC=1.5,2.0'!I4:I22,"→")+1</f>
        <v>6</v>
      </c>
      <c r="D41" s="4"/>
    </row>
  </sheetData>
  <mergeCells count="8">
    <mergeCell ref="B23:D23"/>
    <mergeCell ref="B33:D33"/>
    <mergeCell ref="B3:E3"/>
    <mergeCell ref="B4:E4"/>
    <mergeCell ref="B6:D6"/>
    <mergeCell ref="C9:D9"/>
    <mergeCell ref="B11:D11"/>
    <mergeCell ref="B13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E384-68A8-4187-9C72-478C525AA7BE}">
  <dimension ref="B3:I25"/>
  <sheetViews>
    <sheetView workbookViewId="0">
      <selection activeCell="M17" sqref="M17"/>
    </sheetView>
  </sheetViews>
  <sheetFormatPr baseColWidth="10" defaultRowHeight="15" x14ac:dyDescent="0.25"/>
  <cols>
    <col min="2" max="2" width="15.5703125" customWidth="1"/>
    <col min="9" max="9" width="16.42578125" customWidth="1"/>
  </cols>
  <sheetData>
    <row r="3" spans="2:9" x14ac:dyDescent="0.25">
      <c r="B3" s="8" t="s">
        <v>17</v>
      </c>
      <c r="C3" s="8"/>
      <c r="D3" s="8"/>
      <c r="E3" s="8"/>
      <c r="F3" s="8"/>
      <c r="G3" s="8"/>
      <c r="H3" s="8"/>
      <c r="I3" s="8"/>
    </row>
    <row r="4" spans="2:9" x14ac:dyDescent="0.25">
      <c r="B4" s="3" t="s">
        <v>23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9</v>
      </c>
      <c r="I4" s="3" t="s">
        <v>24</v>
      </c>
    </row>
    <row r="5" spans="2:9" x14ac:dyDescent="0.25">
      <c r="B5" s="3">
        <v>1</v>
      </c>
      <c r="C5" s="15">
        <v>-1.5</v>
      </c>
      <c r="D5" s="15">
        <v>-0.5</v>
      </c>
      <c r="E5" s="15">
        <f>(C5+D5)/2</f>
        <v>-1</v>
      </c>
      <c r="F5" s="15">
        <f>C5^3 - C5^2*EXP(-0.5*C5) - 3*C5 + 1</f>
        <v>-2.6382500373785192</v>
      </c>
      <c r="G5" s="15">
        <f>E5^3 - E5^2*EXP(-0.5*E5) - 3*E5 + 1</f>
        <v>1.3512787292998718</v>
      </c>
      <c r="H5" s="15">
        <f>ABS(D5-C5)/2</f>
        <v>0.5</v>
      </c>
      <c r="I5" s="6" t="str">
        <f>IF(OR(ABS(G5)&lt;=[1]CONFIG!$C$7,H5&lt;=[1]CONFIG!$C$7),"Si","No")</f>
        <v>No</v>
      </c>
    </row>
    <row r="6" spans="2:9" x14ac:dyDescent="0.25">
      <c r="B6" s="3">
        <f>B5+1</f>
        <v>2</v>
      </c>
      <c r="C6" s="15">
        <f>IF(F5*G5&lt;0,C5,E5)</f>
        <v>-1.5</v>
      </c>
      <c r="D6" s="15">
        <f>IF(F5*G5&lt;0,E5,D5)</f>
        <v>-1</v>
      </c>
      <c r="E6" s="15">
        <f>(C6+D6)/2</f>
        <v>-1.25</v>
      </c>
      <c r="F6" s="15">
        <f>C6^3 - C6^2*EXP(-0.5*C6) - 3*C6 + 1</f>
        <v>-2.6382500373785192</v>
      </c>
      <c r="G6" s="15">
        <f>E6^3 - E6^2*EXP(-0.5*E6) - 3*E6 + 1</f>
        <v>-0.12225930848784738</v>
      </c>
      <c r="H6" s="15">
        <f>ABS(D6-C6)/2</f>
        <v>0.25</v>
      </c>
      <c r="I6" s="6" t="str">
        <f>IF(OR(ABS(G6)&lt;=[1]CONFIG!$C$7,H6&lt;=[1]CONFIG!$C$7),"Si","No")</f>
        <v>No</v>
      </c>
    </row>
    <row r="7" spans="2:9" x14ac:dyDescent="0.25">
      <c r="B7" s="3">
        <f t="shared" ref="B7:B25" si="0">B6+1</f>
        <v>3</v>
      </c>
      <c r="C7" s="15">
        <f t="shared" ref="C7:C25" si="1">IF(F6*G6&lt;0,C6,E6)</f>
        <v>-1.25</v>
      </c>
      <c r="D7" s="15">
        <f t="shared" ref="D7:D25" si="2">IF(F6*G6&lt;0,E6,D6)</f>
        <v>-1</v>
      </c>
      <c r="E7" s="15">
        <f t="shared" ref="E7:E25" si="3">(C7+D7)/2</f>
        <v>-1.125</v>
      </c>
      <c r="F7" s="15">
        <f t="shared" ref="F7:F25" si="4">C7^3 - C7^2*EXP(-0.5*C7) - 3*C7 + 1</f>
        <v>-0.12225930848784738</v>
      </c>
      <c r="G7" s="15">
        <f t="shared" ref="G7:G25" si="5">E7^3 - E7^2*EXP(-0.5*E7) - 3*E7 + 1</f>
        <v>0.72993082478462235</v>
      </c>
      <c r="H7" s="15">
        <f t="shared" ref="H7:H25" si="6">ABS(D7-C7)/2</f>
        <v>0.125</v>
      </c>
      <c r="I7" s="6" t="str">
        <f>IF(OR(ABS(G7)&lt;=[1]CONFIG!$C$7,H7&lt;=[1]CONFIG!$C$7),"Si","No")</f>
        <v>No</v>
      </c>
    </row>
    <row r="8" spans="2:9" x14ac:dyDescent="0.25">
      <c r="B8" s="3">
        <f t="shared" si="0"/>
        <v>4</v>
      </c>
      <c r="C8" s="15">
        <f t="shared" si="1"/>
        <v>-1.25</v>
      </c>
      <c r="D8" s="15">
        <f t="shared" si="2"/>
        <v>-1.125</v>
      </c>
      <c r="E8" s="15">
        <f t="shared" si="3"/>
        <v>-1.1875</v>
      </c>
      <c r="F8" s="15">
        <f t="shared" si="4"/>
        <v>-0.12225930848784738</v>
      </c>
      <c r="G8" s="15">
        <f t="shared" si="5"/>
        <v>0.33447635923789498</v>
      </c>
      <c r="H8" s="15">
        <f t="shared" si="6"/>
        <v>6.25E-2</v>
      </c>
      <c r="I8" s="6" t="str">
        <f>IF(OR(ABS(G8)&lt;=[1]CONFIG!$C$7,H8&lt;=[1]CONFIG!$C$7),"Si","No")</f>
        <v>No</v>
      </c>
    </row>
    <row r="9" spans="2:9" x14ac:dyDescent="0.25">
      <c r="B9" s="3">
        <f t="shared" si="0"/>
        <v>5</v>
      </c>
      <c r="C9" s="15">
        <f t="shared" si="1"/>
        <v>-1.25</v>
      </c>
      <c r="D9" s="15">
        <f t="shared" si="2"/>
        <v>-1.1875</v>
      </c>
      <c r="E9" s="15">
        <f t="shared" si="3"/>
        <v>-1.21875</v>
      </c>
      <c r="F9" s="15">
        <f t="shared" si="4"/>
        <v>-0.12225930848784738</v>
      </c>
      <c r="G9" s="15">
        <f t="shared" si="5"/>
        <v>0.11399815032026517</v>
      </c>
      <c r="H9" s="15">
        <f t="shared" si="6"/>
        <v>3.125E-2</v>
      </c>
      <c r="I9" s="6" t="str">
        <f>IF(OR(ABS(G9)&lt;=[1]CONFIG!$C$7,H9&lt;=[1]CONFIG!$C$7),"Si","No")</f>
        <v>No</v>
      </c>
    </row>
    <row r="10" spans="2:9" x14ac:dyDescent="0.25">
      <c r="B10" s="3">
        <f t="shared" si="0"/>
        <v>6</v>
      </c>
      <c r="C10" s="15">
        <f t="shared" si="1"/>
        <v>-1.25</v>
      </c>
      <c r="D10" s="15">
        <f t="shared" si="2"/>
        <v>-1.21875</v>
      </c>
      <c r="E10" s="15">
        <f t="shared" si="3"/>
        <v>-1.234375</v>
      </c>
      <c r="F10" s="15">
        <f t="shared" si="4"/>
        <v>-0.12225930848784738</v>
      </c>
      <c r="G10" s="15">
        <f t="shared" si="5"/>
        <v>-2.1290798148916323E-3</v>
      </c>
      <c r="H10" s="15">
        <f t="shared" si="6"/>
        <v>1.5625E-2</v>
      </c>
      <c r="I10" s="6" t="str">
        <f>IF(OR(ABS(G10)&lt;=[1]CONFIG!$C$7,H10&lt;=[1]CONFIG!$C$7),"Si","No")</f>
        <v>No</v>
      </c>
    </row>
    <row r="11" spans="2:9" x14ac:dyDescent="0.25">
      <c r="B11" s="3">
        <f t="shared" si="0"/>
        <v>7</v>
      </c>
      <c r="C11" s="15">
        <f t="shared" si="1"/>
        <v>-1.234375</v>
      </c>
      <c r="D11" s="15">
        <f t="shared" si="2"/>
        <v>-1.21875</v>
      </c>
      <c r="E11" s="15">
        <f t="shared" si="3"/>
        <v>-1.2265625</v>
      </c>
      <c r="F11" s="15">
        <f t="shared" si="4"/>
        <v>-2.1290798148916323E-3</v>
      </c>
      <c r="G11" s="15">
        <f t="shared" si="5"/>
        <v>5.6431254909981021E-2</v>
      </c>
      <c r="H11" s="15">
        <f t="shared" si="6"/>
        <v>7.8125E-3</v>
      </c>
      <c r="I11" s="6" t="str">
        <f>IF(OR(ABS(G11)&lt;=[1]CONFIG!$C$7,H11&lt;=[1]CONFIG!$C$7),"Si","No")</f>
        <v>No</v>
      </c>
    </row>
    <row r="12" spans="2:9" x14ac:dyDescent="0.25">
      <c r="B12" s="3">
        <f t="shared" si="0"/>
        <v>8</v>
      </c>
      <c r="C12" s="15">
        <f t="shared" si="1"/>
        <v>-1.234375</v>
      </c>
      <c r="D12" s="15">
        <f t="shared" si="2"/>
        <v>-1.2265625</v>
      </c>
      <c r="E12" s="15">
        <f t="shared" si="3"/>
        <v>-1.23046875</v>
      </c>
      <c r="F12" s="15">
        <f t="shared" si="4"/>
        <v>-2.1290798148916323E-3</v>
      </c>
      <c r="G12" s="15">
        <f t="shared" si="5"/>
        <v>2.7275723191040768E-2</v>
      </c>
      <c r="H12" s="15">
        <f t="shared" si="6"/>
        <v>3.90625E-3</v>
      </c>
      <c r="I12" s="6" t="str">
        <f>IF(OR(ABS(G12)&lt;=[1]CONFIG!$C$7,H12&lt;=[1]CONFIG!$C$7),"Si","No")</f>
        <v>No</v>
      </c>
    </row>
    <row r="13" spans="2:9" x14ac:dyDescent="0.25">
      <c r="B13" s="3">
        <f t="shared" si="0"/>
        <v>9</v>
      </c>
      <c r="C13" s="15">
        <f t="shared" si="1"/>
        <v>-1.234375</v>
      </c>
      <c r="D13" s="15">
        <f t="shared" si="2"/>
        <v>-1.23046875</v>
      </c>
      <c r="E13" s="15">
        <f t="shared" si="3"/>
        <v>-1.232421875</v>
      </c>
      <c r="F13" s="15">
        <f t="shared" si="4"/>
        <v>-2.1290798148916323E-3</v>
      </c>
      <c r="G13" s="15">
        <f t="shared" si="5"/>
        <v>1.2604537666828897E-2</v>
      </c>
      <c r="H13" s="15">
        <f t="shared" si="6"/>
        <v>1.953125E-3</v>
      </c>
      <c r="I13" s="6" t="str">
        <f>IF(OR(ABS(G13)&lt;=[1]CONFIG!$C$7,H13&lt;=[1]CONFIG!$C$7),"Si","No")</f>
        <v>No</v>
      </c>
    </row>
    <row r="14" spans="2:9" x14ac:dyDescent="0.25">
      <c r="B14" s="3">
        <f t="shared" si="0"/>
        <v>10</v>
      </c>
      <c r="C14" s="15">
        <f t="shared" si="1"/>
        <v>-1.234375</v>
      </c>
      <c r="D14" s="15">
        <f t="shared" si="2"/>
        <v>-1.232421875</v>
      </c>
      <c r="E14" s="15">
        <f t="shared" si="3"/>
        <v>-1.2333984375</v>
      </c>
      <c r="F14" s="15">
        <f t="shared" si="4"/>
        <v>-2.1290798148916323E-3</v>
      </c>
      <c r="G14" s="15">
        <f t="shared" si="5"/>
        <v>5.2455400605149194E-3</v>
      </c>
      <c r="H14" s="15">
        <f t="shared" si="6"/>
        <v>9.765625E-4</v>
      </c>
      <c r="I14" s="6" t="str">
        <f>IF(OR(ABS(G14)&lt;=[1]CONFIG!$C$7,H14&lt;=[1]CONFIG!$C$7),"Si","No")</f>
        <v>No</v>
      </c>
    </row>
    <row r="15" spans="2:9" x14ac:dyDescent="0.25">
      <c r="B15" s="3">
        <f t="shared" si="0"/>
        <v>11</v>
      </c>
      <c r="C15" s="15">
        <f t="shared" si="1"/>
        <v>-1.234375</v>
      </c>
      <c r="D15" s="15">
        <f t="shared" si="2"/>
        <v>-1.2333984375</v>
      </c>
      <c r="E15" s="15">
        <f t="shared" si="3"/>
        <v>-1.23388671875</v>
      </c>
      <c r="F15" s="15">
        <f t="shared" si="4"/>
        <v>-2.1290798148916323E-3</v>
      </c>
      <c r="G15" s="15">
        <f t="shared" si="5"/>
        <v>1.5601837993290957E-3</v>
      </c>
      <c r="H15" s="15">
        <f t="shared" si="6"/>
        <v>4.8828125E-4</v>
      </c>
      <c r="I15" s="6" t="str">
        <f>IF(OR(ABS(G15)&lt;=[1]CONFIG!$C$7,H15&lt;=[1]CONFIG!$C$7),"Si","No")</f>
        <v>No</v>
      </c>
    </row>
    <row r="16" spans="2:9" x14ac:dyDescent="0.25">
      <c r="B16" s="3">
        <f t="shared" si="0"/>
        <v>12</v>
      </c>
      <c r="C16" s="15">
        <f t="shared" si="1"/>
        <v>-1.234375</v>
      </c>
      <c r="D16" s="15">
        <f t="shared" si="2"/>
        <v>-1.23388671875</v>
      </c>
      <c r="E16" s="15">
        <f t="shared" si="3"/>
        <v>-1.234130859375</v>
      </c>
      <c r="F16" s="15">
        <f t="shared" si="4"/>
        <v>-2.1290798148916323E-3</v>
      </c>
      <c r="G16" s="15">
        <f t="shared" si="5"/>
        <v>-2.8395947701653768E-4</v>
      </c>
      <c r="H16" s="15">
        <f t="shared" si="6"/>
        <v>2.44140625E-4</v>
      </c>
      <c r="I16" s="6" t="str">
        <f>IF(OR(ABS(G16)&lt;=[1]CONFIG!$C$7,H16&lt;=[1]CONFIG!$C$7),"Si","No")</f>
        <v>No</v>
      </c>
    </row>
    <row r="17" spans="2:9" x14ac:dyDescent="0.25">
      <c r="B17" s="3">
        <f t="shared" si="0"/>
        <v>13</v>
      </c>
      <c r="C17" s="15">
        <f t="shared" si="1"/>
        <v>-1.234130859375</v>
      </c>
      <c r="D17" s="15">
        <f t="shared" si="2"/>
        <v>-1.23388671875</v>
      </c>
      <c r="E17" s="15">
        <f t="shared" si="3"/>
        <v>-1.2340087890625</v>
      </c>
      <c r="F17" s="15">
        <f t="shared" si="4"/>
        <v>-2.8395947701653768E-4</v>
      </c>
      <c r="G17" s="15">
        <f t="shared" si="5"/>
        <v>6.3823427989184722E-4</v>
      </c>
      <c r="H17" s="15">
        <f t="shared" si="6"/>
        <v>1.220703125E-4</v>
      </c>
      <c r="I17" s="6" t="str">
        <f>IF(OR(ABS(G17)&lt;=[1]CONFIG!$C$7,H17&lt;=[1]CONFIG!$C$7),"Si","No")</f>
        <v>No</v>
      </c>
    </row>
    <row r="18" spans="2:9" x14ac:dyDescent="0.25">
      <c r="B18" s="3">
        <f t="shared" si="0"/>
        <v>14</v>
      </c>
      <c r="C18" s="15">
        <f t="shared" si="1"/>
        <v>-1.234130859375</v>
      </c>
      <c r="D18" s="15">
        <f t="shared" si="2"/>
        <v>-1.2340087890625</v>
      </c>
      <c r="E18" s="15">
        <f t="shared" si="3"/>
        <v>-1.23406982421875</v>
      </c>
      <c r="F18" s="15">
        <f t="shared" si="4"/>
        <v>-2.8395947701653768E-4</v>
      </c>
      <c r="G18" s="15">
        <f t="shared" si="5"/>
        <v>1.771679328657072E-4</v>
      </c>
      <c r="H18" s="15">
        <f t="shared" si="6"/>
        <v>6.103515625E-5</v>
      </c>
      <c r="I18" s="6" t="str">
        <f>IF(OR(ABS(G18)&lt;=[1]CONFIG!$C$7,H18&lt;=[1]CONFIG!$C$7),"Si","No")</f>
        <v>No</v>
      </c>
    </row>
    <row r="19" spans="2:9" x14ac:dyDescent="0.25">
      <c r="B19" s="3">
        <f t="shared" si="0"/>
        <v>15</v>
      </c>
      <c r="C19" s="15">
        <f t="shared" si="1"/>
        <v>-1.234130859375</v>
      </c>
      <c r="D19" s="15">
        <f t="shared" si="2"/>
        <v>-1.23406982421875</v>
      </c>
      <c r="E19" s="15">
        <f t="shared" si="3"/>
        <v>-1.234100341796875</v>
      </c>
      <c r="F19" s="15">
        <f t="shared" si="4"/>
        <v>-2.8395947701653768E-4</v>
      </c>
      <c r="G19" s="15">
        <f t="shared" si="5"/>
        <v>-5.3388139001242507E-5</v>
      </c>
      <c r="H19" s="15">
        <f t="shared" si="6"/>
        <v>3.0517578125E-5</v>
      </c>
      <c r="I19" s="6" t="str">
        <f>IF(OR(ABS(G19)&lt;=[1]CONFIG!$C$7,H19&lt;=[1]CONFIG!$C$7),"Si","No")</f>
        <v>No</v>
      </c>
    </row>
    <row r="20" spans="2:9" x14ac:dyDescent="0.25">
      <c r="B20" s="3">
        <f t="shared" si="0"/>
        <v>16</v>
      </c>
      <c r="C20" s="15">
        <f t="shared" si="1"/>
        <v>-1.234100341796875</v>
      </c>
      <c r="D20" s="15">
        <f t="shared" si="2"/>
        <v>-1.23406982421875</v>
      </c>
      <c r="E20" s="15">
        <f t="shared" si="3"/>
        <v>-1.2340850830078125</v>
      </c>
      <c r="F20" s="15">
        <f t="shared" si="4"/>
        <v>-5.3388139001242507E-5</v>
      </c>
      <c r="G20" s="15">
        <f t="shared" si="5"/>
        <v>6.1891805174241199E-5</v>
      </c>
      <c r="H20" s="15">
        <f t="shared" si="6"/>
        <v>1.52587890625E-5</v>
      </c>
      <c r="I20" s="6" t="str">
        <f>IF(OR(ABS(G20)&lt;=[1]CONFIG!$C$7,H20&lt;=[1]CONFIG!$C$7),"Si","No")</f>
        <v>No</v>
      </c>
    </row>
    <row r="21" spans="2:9" x14ac:dyDescent="0.25">
      <c r="B21" s="3">
        <f t="shared" si="0"/>
        <v>17</v>
      </c>
      <c r="C21" s="15">
        <f t="shared" si="1"/>
        <v>-1.234100341796875</v>
      </c>
      <c r="D21" s="15">
        <f t="shared" si="2"/>
        <v>-1.2340850830078125</v>
      </c>
      <c r="E21" s="15">
        <f t="shared" si="3"/>
        <v>-1.2340927124023438</v>
      </c>
      <c r="F21" s="15">
        <f t="shared" si="4"/>
        <v>-5.3388139001242507E-5</v>
      </c>
      <c r="G21" s="15">
        <f t="shared" si="5"/>
        <v>4.2523101502212057E-6</v>
      </c>
      <c r="H21" s="15">
        <f t="shared" si="6"/>
        <v>7.62939453125E-6</v>
      </c>
      <c r="I21" s="6" t="str">
        <f>IF(OR(ABS(G21)&lt;=[1]CONFIG!$C$7,H21&lt;=[1]CONFIG!$C$7),"Si","No")</f>
        <v>No</v>
      </c>
    </row>
    <row r="22" spans="2:9" x14ac:dyDescent="0.25">
      <c r="B22" s="3">
        <f t="shared" si="0"/>
        <v>18</v>
      </c>
      <c r="C22" s="15">
        <f t="shared" si="1"/>
        <v>-1.234100341796875</v>
      </c>
      <c r="D22" s="15">
        <f t="shared" si="2"/>
        <v>-1.2340927124023438</v>
      </c>
      <c r="E22" s="15">
        <f t="shared" si="3"/>
        <v>-1.2340965270996094</v>
      </c>
      <c r="F22" s="15">
        <f t="shared" si="4"/>
        <v>-5.3388139001242507E-5</v>
      </c>
      <c r="G22" s="15">
        <f t="shared" si="5"/>
        <v>-2.4567795158247918E-5</v>
      </c>
      <c r="H22" s="15">
        <f t="shared" si="6"/>
        <v>3.814697265625E-6</v>
      </c>
      <c r="I22" s="6" t="str">
        <f>IF(OR(ABS(G22)&lt;=[1]CONFIG!$C$7,H22&lt;=[1]CONFIG!$C$7),"Si","No")</f>
        <v>No</v>
      </c>
    </row>
    <row r="23" spans="2:9" x14ac:dyDescent="0.25">
      <c r="B23" s="3">
        <f t="shared" si="0"/>
        <v>19</v>
      </c>
      <c r="C23" s="15">
        <f t="shared" si="1"/>
        <v>-1.2340965270996094</v>
      </c>
      <c r="D23" s="15">
        <f t="shared" si="2"/>
        <v>-1.2340927124023438</v>
      </c>
      <c r="E23" s="15">
        <f t="shared" si="3"/>
        <v>-1.2340946197509766</v>
      </c>
      <c r="F23" s="15">
        <f t="shared" si="4"/>
        <v>-2.4567795158247918E-5</v>
      </c>
      <c r="G23" s="15">
        <f t="shared" si="5"/>
        <v>-1.0157712686975628E-5</v>
      </c>
      <c r="H23" s="15">
        <f t="shared" si="6"/>
        <v>1.9073486328125E-6</v>
      </c>
      <c r="I23" s="6" t="str">
        <f>IF(OR(ABS(G23)&lt;=[1]CONFIG!$C$7,H23&lt;=[1]CONFIG!$C$7),"Si","No")</f>
        <v>No</v>
      </c>
    </row>
    <row r="24" spans="2:9" x14ac:dyDescent="0.25">
      <c r="B24" s="3">
        <f t="shared" si="0"/>
        <v>20</v>
      </c>
      <c r="C24" s="15">
        <f t="shared" si="1"/>
        <v>-1.2340946197509766</v>
      </c>
      <c r="D24" s="15">
        <f t="shared" si="2"/>
        <v>-1.2340927124023438</v>
      </c>
      <c r="E24" s="15">
        <f t="shared" si="3"/>
        <v>-1.2340936660766602</v>
      </c>
      <c r="F24" s="15">
        <f t="shared" si="4"/>
        <v>-1.0157712686975628E-5</v>
      </c>
      <c r="G24" s="15">
        <f t="shared" si="5"/>
        <v>-2.9526938138957348E-6</v>
      </c>
      <c r="H24" s="15">
        <f t="shared" si="6"/>
        <v>9.5367431640625E-7</v>
      </c>
      <c r="I24" s="6" t="str">
        <f>IF(OR(ABS(G24)&lt;=[1]CONFIG!$C$7,H24&lt;=[1]CONFIG!$C$7),"Si","No")</f>
        <v>Si</v>
      </c>
    </row>
    <row r="25" spans="2:9" x14ac:dyDescent="0.25">
      <c r="B25" s="3">
        <f t="shared" si="0"/>
        <v>21</v>
      </c>
      <c r="C25" s="15">
        <f t="shared" si="1"/>
        <v>-1.2340936660766602</v>
      </c>
      <c r="D25" s="15">
        <f t="shared" si="2"/>
        <v>-1.2340927124023438</v>
      </c>
      <c r="E25" s="15">
        <f t="shared" si="3"/>
        <v>-1.234093189239502</v>
      </c>
      <c r="F25" s="15">
        <f t="shared" si="4"/>
        <v>-2.9526938138957348E-6</v>
      </c>
      <c r="G25" s="15">
        <f t="shared" si="5"/>
        <v>6.4981003156105999E-7</v>
      </c>
      <c r="H25" s="15">
        <f t="shared" si="6"/>
        <v>4.76837158203125E-7</v>
      </c>
      <c r="I25" s="6" t="str">
        <f>IF(OR(ABS(G25)&lt;=[1]CONFIG!$C$7,H25&lt;=[1]CONFIG!$C$7),"Si","No")</f>
        <v>Si</v>
      </c>
    </row>
  </sheetData>
  <mergeCells count="1">
    <mergeCell ref="B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EFA9F-30F0-4CA5-A0F3-2D5A36323B33}">
  <dimension ref="B3:I25"/>
  <sheetViews>
    <sheetView workbookViewId="0">
      <selection activeCell="L18" sqref="L18"/>
    </sheetView>
  </sheetViews>
  <sheetFormatPr baseColWidth="10" defaultRowHeight="15" x14ac:dyDescent="0.25"/>
  <cols>
    <col min="2" max="2" width="16.42578125" customWidth="1"/>
    <col min="9" max="9" width="17.140625" customWidth="1"/>
  </cols>
  <sheetData>
    <row r="3" spans="2:9" x14ac:dyDescent="0.25">
      <c r="B3" s="8" t="s">
        <v>17</v>
      </c>
      <c r="C3" s="8"/>
      <c r="D3" s="8"/>
      <c r="E3" s="8"/>
      <c r="F3" s="8"/>
      <c r="G3" s="8"/>
      <c r="H3" s="8"/>
      <c r="I3" s="8"/>
    </row>
    <row r="4" spans="2:9" x14ac:dyDescent="0.25">
      <c r="B4" s="3" t="s">
        <v>23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9</v>
      </c>
      <c r="I4" s="3" t="s">
        <v>24</v>
      </c>
    </row>
    <row r="5" spans="2:9" x14ac:dyDescent="0.25">
      <c r="B5" s="3">
        <v>1</v>
      </c>
      <c r="C5" s="15">
        <v>0</v>
      </c>
      <c r="D5" s="15">
        <v>1</v>
      </c>
      <c r="E5" s="15">
        <f>(C5+D5)/2</f>
        <v>0.5</v>
      </c>
      <c r="F5" s="15">
        <f>C5^3 - C5^2*EXP(-0.5*C5) - 3*C5 + 1</f>
        <v>1</v>
      </c>
      <c r="G5" s="15">
        <f>E5^3 - E5^2*EXP(-0.5*E5) - 3*E5 + 1</f>
        <v>-0.56970019576785114</v>
      </c>
      <c r="H5" s="15">
        <f>ABS(D5-C5)/2</f>
        <v>0.5</v>
      </c>
      <c r="I5" s="6" t="str">
        <f>IF(OR(ABS(G5)&lt;=[1]CONFIG!$C$7,H5&lt;=[1]CONFIG!$C$7),"Si","No")</f>
        <v>No</v>
      </c>
    </row>
    <row r="6" spans="2:9" x14ac:dyDescent="0.25">
      <c r="B6" s="3">
        <f>B5+1</f>
        <v>2</v>
      </c>
      <c r="C6" s="15">
        <f>IF(F5*G5&lt;0,C5,E5)</f>
        <v>0</v>
      </c>
      <c r="D6" s="15">
        <f>IF(F5*G5&lt;0,E5,D5)</f>
        <v>0.5</v>
      </c>
      <c r="E6" s="15">
        <f>(C6+D6)/2</f>
        <v>0.25</v>
      </c>
      <c r="F6" s="15">
        <f>C6^3 - C6^2*EXP(-0.5*C6) - 3*C6 + 1</f>
        <v>1</v>
      </c>
      <c r="G6" s="15">
        <f>E6^3 - E6^2*EXP(-0.5*E6) - 3*E6 + 1</f>
        <v>0.2104689435884628</v>
      </c>
      <c r="H6" s="15">
        <f>ABS(D6-C6)/2</f>
        <v>0.25</v>
      </c>
      <c r="I6" s="6" t="str">
        <f>IF(OR(ABS(G6)&lt;=[1]CONFIG!$C$7,H6&lt;=[1]CONFIG!$C$7),"Si","No")</f>
        <v>No</v>
      </c>
    </row>
    <row r="7" spans="2:9" x14ac:dyDescent="0.25">
      <c r="B7" s="3">
        <f t="shared" ref="B7:B25" si="0">B6+1</f>
        <v>3</v>
      </c>
      <c r="C7" s="15">
        <f t="shared" ref="C7:C25" si="1">IF(F6*G6&lt;0,C6,E6)</f>
        <v>0.25</v>
      </c>
      <c r="D7" s="15">
        <f t="shared" ref="D7:D25" si="2">IF(F6*G6&lt;0,E6,D6)</f>
        <v>0.5</v>
      </c>
      <c r="E7" s="15">
        <f t="shared" ref="E7:E25" si="3">(C7+D7)/2</f>
        <v>0.375</v>
      </c>
      <c r="F7" s="15">
        <f t="shared" ref="F7:F25" si="4">C7^3 - C7^2*EXP(-0.5*C7) - 3*C7 + 1</f>
        <v>0.2104689435884628</v>
      </c>
      <c r="G7" s="15">
        <f t="shared" ref="G7:G25" si="5">E7^3 - E7^2*EXP(-0.5*E7) - 3*E7 + 1</f>
        <v>-0.18884784474411886</v>
      </c>
      <c r="H7" s="15">
        <f t="shared" ref="H7:H25" si="6">ABS(D7-C7)/2</f>
        <v>0.125</v>
      </c>
      <c r="I7" s="6" t="str">
        <f>IF(OR(ABS(G7)&lt;=[1]CONFIG!$C$7,H7&lt;=[1]CONFIG!$C$7),"Si","No")</f>
        <v>No</v>
      </c>
    </row>
    <row r="8" spans="2:9" x14ac:dyDescent="0.25">
      <c r="B8" s="3">
        <f t="shared" si="0"/>
        <v>4</v>
      </c>
      <c r="C8" s="15">
        <f t="shared" si="1"/>
        <v>0.25</v>
      </c>
      <c r="D8" s="15">
        <f t="shared" si="2"/>
        <v>0.375</v>
      </c>
      <c r="E8" s="15">
        <f t="shared" si="3"/>
        <v>0.3125</v>
      </c>
      <c r="F8" s="15">
        <f t="shared" si="4"/>
        <v>0.2104689435884628</v>
      </c>
      <c r="G8" s="15">
        <f t="shared" si="5"/>
        <v>9.4877610051344874E-3</v>
      </c>
      <c r="H8" s="15">
        <f t="shared" si="6"/>
        <v>6.25E-2</v>
      </c>
      <c r="I8" s="6" t="str">
        <f>IF(OR(ABS(G8)&lt;=[1]CONFIG!$C$7,H8&lt;=[1]CONFIG!$C$7),"Si","No")</f>
        <v>No</v>
      </c>
    </row>
    <row r="9" spans="2:9" x14ac:dyDescent="0.25">
      <c r="B9" s="3">
        <f t="shared" si="0"/>
        <v>5</v>
      </c>
      <c r="C9" s="15">
        <f t="shared" si="1"/>
        <v>0.3125</v>
      </c>
      <c r="D9" s="15">
        <f t="shared" si="2"/>
        <v>0.375</v>
      </c>
      <c r="E9" s="15">
        <f t="shared" si="3"/>
        <v>0.34375</v>
      </c>
      <c r="F9" s="15">
        <f t="shared" si="4"/>
        <v>9.4877610051344874E-3</v>
      </c>
      <c r="G9" s="15">
        <f t="shared" si="5"/>
        <v>-9.0135220394872428E-2</v>
      </c>
      <c r="H9" s="15">
        <f t="shared" si="6"/>
        <v>3.125E-2</v>
      </c>
      <c r="I9" s="6" t="str">
        <f>IF(OR(ABS(G9)&lt;=[1]CONFIG!$C$7,H9&lt;=[1]CONFIG!$C$7),"Si","No")</f>
        <v>No</v>
      </c>
    </row>
    <row r="10" spans="2:9" x14ac:dyDescent="0.25">
      <c r="B10" s="3">
        <f t="shared" si="0"/>
        <v>6</v>
      </c>
      <c r="C10" s="15">
        <f t="shared" si="1"/>
        <v>0.3125</v>
      </c>
      <c r="D10" s="15">
        <f t="shared" si="2"/>
        <v>0.34375</v>
      </c>
      <c r="E10" s="15">
        <f t="shared" si="3"/>
        <v>0.328125</v>
      </c>
      <c r="F10" s="15">
        <f t="shared" si="4"/>
        <v>9.4877610051344874E-3</v>
      </c>
      <c r="G10" s="15">
        <f t="shared" si="5"/>
        <v>-4.0422049298882712E-2</v>
      </c>
      <c r="H10" s="15">
        <f t="shared" si="6"/>
        <v>1.5625E-2</v>
      </c>
      <c r="I10" s="6" t="str">
        <f>IF(OR(ABS(G10)&lt;=[1]CONFIG!$C$7,H10&lt;=[1]CONFIG!$C$7),"Si","No")</f>
        <v>No</v>
      </c>
    </row>
    <row r="11" spans="2:9" x14ac:dyDescent="0.25">
      <c r="B11" s="3">
        <f t="shared" si="0"/>
        <v>7</v>
      </c>
      <c r="C11" s="15">
        <f t="shared" si="1"/>
        <v>0.3125</v>
      </c>
      <c r="D11" s="15">
        <f t="shared" si="2"/>
        <v>0.328125</v>
      </c>
      <c r="E11" s="15">
        <f t="shared" si="3"/>
        <v>0.3203125</v>
      </c>
      <c r="F11" s="15">
        <f t="shared" si="4"/>
        <v>9.4877610051344874E-3</v>
      </c>
      <c r="G11" s="15">
        <f t="shared" si="5"/>
        <v>-1.5489782308668598E-2</v>
      </c>
      <c r="H11" s="15">
        <f t="shared" si="6"/>
        <v>7.8125E-3</v>
      </c>
      <c r="I11" s="6" t="str">
        <f>IF(OR(ABS(G11)&lt;=[1]CONFIG!$C$7,H11&lt;=[1]CONFIG!$C$7),"Si","No")</f>
        <v>No</v>
      </c>
    </row>
    <row r="12" spans="2:9" x14ac:dyDescent="0.25">
      <c r="B12" s="3">
        <f t="shared" si="0"/>
        <v>8</v>
      </c>
      <c r="C12" s="15">
        <f t="shared" si="1"/>
        <v>0.3125</v>
      </c>
      <c r="D12" s="15">
        <f t="shared" si="2"/>
        <v>0.3203125</v>
      </c>
      <c r="E12" s="15">
        <f t="shared" si="3"/>
        <v>0.31640625</v>
      </c>
      <c r="F12" s="15">
        <f t="shared" si="4"/>
        <v>9.4877610051344874E-3</v>
      </c>
      <c r="G12" s="15">
        <f t="shared" si="5"/>
        <v>-3.006427010124435E-3</v>
      </c>
      <c r="H12" s="15">
        <f t="shared" si="6"/>
        <v>3.90625E-3</v>
      </c>
      <c r="I12" s="6" t="str">
        <f>IF(OR(ABS(G12)&lt;=[1]CONFIG!$C$7,H12&lt;=[1]CONFIG!$C$7),"Si","No")</f>
        <v>No</v>
      </c>
    </row>
    <row r="13" spans="2:9" x14ac:dyDescent="0.25">
      <c r="B13" s="3">
        <f t="shared" si="0"/>
        <v>9</v>
      </c>
      <c r="C13" s="15">
        <f t="shared" si="1"/>
        <v>0.3125</v>
      </c>
      <c r="D13" s="15">
        <f t="shared" si="2"/>
        <v>0.31640625</v>
      </c>
      <c r="E13" s="15">
        <f t="shared" si="3"/>
        <v>0.314453125</v>
      </c>
      <c r="F13" s="15">
        <f t="shared" si="4"/>
        <v>9.4877610051344874E-3</v>
      </c>
      <c r="G13" s="15">
        <f t="shared" si="5"/>
        <v>3.239343334866418E-3</v>
      </c>
      <c r="H13" s="15">
        <f t="shared" si="6"/>
        <v>1.953125E-3</v>
      </c>
      <c r="I13" s="6" t="str">
        <f>IF(OR(ABS(G13)&lt;=[1]CONFIG!$C$7,H13&lt;=[1]CONFIG!$C$7),"Si","No")</f>
        <v>No</v>
      </c>
    </row>
    <row r="14" spans="2:9" x14ac:dyDescent="0.25">
      <c r="B14" s="3">
        <f t="shared" si="0"/>
        <v>10</v>
      </c>
      <c r="C14" s="15">
        <f t="shared" si="1"/>
        <v>0.314453125</v>
      </c>
      <c r="D14" s="15">
        <f t="shared" si="2"/>
        <v>0.31640625</v>
      </c>
      <c r="E14" s="15">
        <f t="shared" si="3"/>
        <v>0.3154296875</v>
      </c>
      <c r="F14" s="15">
        <f t="shared" si="4"/>
        <v>3.239343334866418E-3</v>
      </c>
      <c r="G14" s="15">
        <f t="shared" si="5"/>
        <v>1.1612344203659752E-4</v>
      </c>
      <c r="H14" s="15">
        <f t="shared" si="6"/>
        <v>9.765625E-4</v>
      </c>
      <c r="I14" s="6" t="str">
        <f>IF(OR(ABS(G14)&lt;=[1]CONFIG!$C$7,H14&lt;=[1]CONFIG!$C$7),"Si","No")</f>
        <v>No</v>
      </c>
    </row>
    <row r="15" spans="2:9" x14ac:dyDescent="0.25">
      <c r="B15" s="3">
        <f t="shared" si="0"/>
        <v>11</v>
      </c>
      <c r="C15" s="15">
        <f t="shared" si="1"/>
        <v>0.3154296875</v>
      </c>
      <c r="D15" s="15">
        <f t="shared" si="2"/>
        <v>0.31640625</v>
      </c>
      <c r="E15" s="15">
        <f t="shared" si="3"/>
        <v>0.31591796875</v>
      </c>
      <c r="F15" s="15">
        <f t="shared" si="4"/>
        <v>1.1612344203659752E-4</v>
      </c>
      <c r="G15" s="15">
        <f t="shared" si="5"/>
        <v>-1.4452359395975556E-3</v>
      </c>
      <c r="H15" s="15">
        <f t="shared" si="6"/>
        <v>4.8828125E-4</v>
      </c>
      <c r="I15" s="6" t="str">
        <f>IF(OR(ABS(G15)&lt;=[1]CONFIG!$C$7,H15&lt;=[1]CONFIG!$C$7),"Si","No")</f>
        <v>No</v>
      </c>
    </row>
    <row r="16" spans="2:9" x14ac:dyDescent="0.25">
      <c r="B16" s="3">
        <f t="shared" si="0"/>
        <v>12</v>
      </c>
      <c r="C16" s="15">
        <f t="shared" si="1"/>
        <v>0.3154296875</v>
      </c>
      <c r="D16" s="15">
        <f t="shared" si="2"/>
        <v>0.31591796875</v>
      </c>
      <c r="E16" s="15">
        <f t="shared" si="3"/>
        <v>0.315673828125</v>
      </c>
      <c r="F16" s="15">
        <f t="shared" si="4"/>
        <v>1.1612344203659752E-4</v>
      </c>
      <c r="G16" s="15">
        <f t="shared" si="5"/>
        <v>-6.6457722824031507E-4</v>
      </c>
      <c r="H16" s="15">
        <f t="shared" si="6"/>
        <v>2.44140625E-4</v>
      </c>
      <c r="I16" s="6" t="str">
        <f>IF(OR(ABS(G16)&lt;=[1]CONFIG!$C$7,H16&lt;=[1]CONFIG!$C$7),"Si","No")</f>
        <v>No</v>
      </c>
    </row>
    <row r="17" spans="2:9" x14ac:dyDescent="0.25">
      <c r="B17" s="3">
        <f t="shared" si="0"/>
        <v>13</v>
      </c>
      <c r="C17" s="15">
        <f t="shared" si="1"/>
        <v>0.3154296875</v>
      </c>
      <c r="D17" s="15">
        <f t="shared" si="2"/>
        <v>0.315673828125</v>
      </c>
      <c r="E17" s="15">
        <f t="shared" si="3"/>
        <v>0.3155517578125</v>
      </c>
      <c r="F17" s="15">
        <f t="shared" si="4"/>
        <v>1.1612344203659752E-4</v>
      </c>
      <c r="G17" s="15">
        <f t="shared" si="5"/>
        <v>-2.7423213053778817E-4</v>
      </c>
      <c r="H17" s="15">
        <f t="shared" si="6"/>
        <v>1.220703125E-4</v>
      </c>
      <c r="I17" s="6" t="str">
        <f>IF(OR(ABS(G17)&lt;=[1]CONFIG!$C$7,H17&lt;=[1]CONFIG!$C$7),"Si","No")</f>
        <v>No</v>
      </c>
    </row>
    <row r="18" spans="2:9" x14ac:dyDescent="0.25">
      <c r="B18" s="3">
        <f t="shared" si="0"/>
        <v>14</v>
      </c>
      <c r="C18" s="15">
        <f t="shared" si="1"/>
        <v>0.3154296875</v>
      </c>
      <c r="D18" s="15">
        <f t="shared" si="2"/>
        <v>0.3155517578125</v>
      </c>
      <c r="E18" s="15">
        <f t="shared" si="3"/>
        <v>0.31549072265625</v>
      </c>
      <c r="F18" s="15">
        <f t="shared" si="4"/>
        <v>1.1612344203659752E-4</v>
      </c>
      <c r="G18" s="15">
        <f t="shared" si="5"/>
        <v>-7.9055652680848354E-5</v>
      </c>
      <c r="H18" s="15">
        <f t="shared" si="6"/>
        <v>6.103515625E-5</v>
      </c>
      <c r="I18" s="6" t="str">
        <f>IF(OR(ABS(G18)&lt;=[1]CONFIG!$C$7,H18&lt;=[1]CONFIG!$C$7),"Si","No")</f>
        <v>No</v>
      </c>
    </row>
    <row r="19" spans="2:9" x14ac:dyDescent="0.25">
      <c r="B19" s="3">
        <f t="shared" si="0"/>
        <v>15</v>
      </c>
      <c r="C19" s="15">
        <f t="shared" si="1"/>
        <v>0.3154296875</v>
      </c>
      <c r="D19" s="15">
        <f t="shared" si="2"/>
        <v>0.31549072265625</v>
      </c>
      <c r="E19" s="15">
        <f t="shared" si="3"/>
        <v>0.315460205078125</v>
      </c>
      <c r="F19" s="15">
        <f t="shared" si="4"/>
        <v>1.1612344203659752E-4</v>
      </c>
      <c r="G19" s="15">
        <f t="shared" si="5"/>
        <v>1.8533567686329633E-5</v>
      </c>
      <c r="H19" s="15">
        <f t="shared" si="6"/>
        <v>3.0517578125E-5</v>
      </c>
      <c r="I19" s="6" t="str">
        <f>IF(OR(ABS(G19)&lt;=[1]CONFIG!$C$7,H19&lt;=[1]CONFIG!$C$7),"Si","No")</f>
        <v>No</v>
      </c>
    </row>
    <row r="20" spans="2:9" x14ac:dyDescent="0.25">
      <c r="B20" s="3">
        <f t="shared" si="0"/>
        <v>16</v>
      </c>
      <c r="C20" s="15">
        <f t="shared" si="1"/>
        <v>0.315460205078125</v>
      </c>
      <c r="D20" s="15">
        <f t="shared" si="2"/>
        <v>0.31549072265625</v>
      </c>
      <c r="E20" s="15">
        <f t="shared" si="3"/>
        <v>0.3154754638671875</v>
      </c>
      <c r="F20" s="15">
        <f t="shared" si="4"/>
        <v>1.8533567686329633E-5</v>
      </c>
      <c r="G20" s="15">
        <f t="shared" si="5"/>
        <v>-3.0261124259745031E-5</v>
      </c>
      <c r="H20" s="15">
        <f t="shared" si="6"/>
        <v>1.52587890625E-5</v>
      </c>
      <c r="I20" s="6" t="str">
        <f>IF(OR(ABS(G20)&lt;=[1]CONFIG!$C$7,H20&lt;=[1]CONFIG!$C$7),"Si","No")</f>
        <v>No</v>
      </c>
    </row>
    <row r="21" spans="2:9" x14ac:dyDescent="0.25">
      <c r="B21" s="3">
        <f t="shared" si="0"/>
        <v>17</v>
      </c>
      <c r="C21" s="15">
        <f t="shared" si="1"/>
        <v>0.315460205078125</v>
      </c>
      <c r="D21" s="15">
        <f t="shared" si="2"/>
        <v>0.3154754638671875</v>
      </c>
      <c r="E21" s="15">
        <f t="shared" si="3"/>
        <v>0.31546783447265625</v>
      </c>
      <c r="F21" s="15">
        <f t="shared" si="4"/>
        <v>1.8533567686329633E-5</v>
      </c>
      <c r="G21" s="15">
        <f t="shared" si="5"/>
        <v>-5.8637987254694934E-6</v>
      </c>
      <c r="H21" s="15">
        <f t="shared" si="6"/>
        <v>7.62939453125E-6</v>
      </c>
      <c r="I21" s="6" t="str">
        <f>IF(OR(ABS(G21)&lt;=[1]CONFIG!$C$7,H21&lt;=[1]CONFIG!$C$7),"Si","No")</f>
        <v>No</v>
      </c>
    </row>
    <row r="22" spans="2:9" x14ac:dyDescent="0.25">
      <c r="B22" s="3">
        <f t="shared" si="0"/>
        <v>18</v>
      </c>
      <c r="C22" s="15">
        <f t="shared" si="1"/>
        <v>0.315460205078125</v>
      </c>
      <c r="D22" s="15">
        <f t="shared" si="2"/>
        <v>0.31546783447265625</v>
      </c>
      <c r="E22" s="15">
        <f t="shared" si="3"/>
        <v>0.31546401977539063</v>
      </c>
      <c r="F22" s="15">
        <f t="shared" si="4"/>
        <v>1.8533567686329633E-5</v>
      </c>
      <c r="G22" s="15">
        <f t="shared" si="5"/>
        <v>6.3348793709616658E-6</v>
      </c>
      <c r="H22" s="15">
        <f t="shared" si="6"/>
        <v>3.814697265625E-6</v>
      </c>
      <c r="I22" s="6" t="str">
        <f>IF(OR(ABS(G22)&lt;=[1]CONFIG!$C$7,H22&lt;=[1]CONFIG!$C$7),"Si","No")</f>
        <v>No</v>
      </c>
    </row>
    <row r="23" spans="2:9" x14ac:dyDescent="0.25">
      <c r="B23" s="3">
        <f t="shared" si="0"/>
        <v>19</v>
      </c>
      <c r="C23" s="15">
        <f t="shared" si="1"/>
        <v>0.31546401977539063</v>
      </c>
      <c r="D23" s="15">
        <f t="shared" si="2"/>
        <v>0.31546783447265625</v>
      </c>
      <c r="E23" s="15">
        <f t="shared" si="3"/>
        <v>0.31546592712402344</v>
      </c>
      <c r="F23" s="15">
        <f t="shared" si="4"/>
        <v>6.3348793709616658E-6</v>
      </c>
      <c r="G23" s="15">
        <f t="shared" si="5"/>
        <v>2.3553904537898518E-7</v>
      </c>
      <c r="H23" s="15">
        <f t="shared" si="6"/>
        <v>1.9073486328125E-6</v>
      </c>
      <c r="I23" s="6" t="str">
        <f>IF(OR(ABS(G23)&lt;=[1]CONFIG!$C$7,H23&lt;=[1]CONFIG!$C$7),"Si","No")</f>
        <v>Si</v>
      </c>
    </row>
    <row r="24" spans="2:9" x14ac:dyDescent="0.25">
      <c r="B24" s="3">
        <f t="shared" si="0"/>
        <v>20</v>
      </c>
      <c r="C24" s="15">
        <f t="shared" si="1"/>
        <v>0.31546592712402344</v>
      </c>
      <c r="D24" s="15">
        <f t="shared" si="2"/>
        <v>0.31546783447265625</v>
      </c>
      <c r="E24" s="15">
        <f t="shared" si="3"/>
        <v>0.31546688079833984</v>
      </c>
      <c r="F24" s="15">
        <f t="shared" si="4"/>
        <v>2.3553904537898518E-7</v>
      </c>
      <c r="G24" s="15">
        <f t="shared" si="5"/>
        <v>-2.814130159345396E-6</v>
      </c>
      <c r="H24" s="15">
        <f t="shared" si="6"/>
        <v>9.5367431640625E-7</v>
      </c>
      <c r="I24" s="6" t="str">
        <f>IF(OR(ABS(G24)&lt;=[1]CONFIG!$C$7,H24&lt;=[1]CONFIG!$C$7),"Si","No")</f>
        <v>Si</v>
      </c>
    </row>
    <row r="25" spans="2:9" x14ac:dyDescent="0.25">
      <c r="B25" s="3">
        <f t="shared" si="0"/>
        <v>21</v>
      </c>
      <c r="C25" s="15">
        <f t="shared" si="1"/>
        <v>0.31546592712402344</v>
      </c>
      <c r="D25" s="15">
        <f t="shared" si="2"/>
        <v>0.31546688079833984</v>
      </c>
      <c r="E25" s="15">
        <f t="shared" si="3"/>
        <v>0.31546640396118164</v>
      </c>
      <c r="F25" s="15">
        <f t="shared" si="4"/>
        <v>2.3553904537898518E-7</v>
      </c>
      <c r="G25" s="15">
        <f t="shared" si="5"/>
        <v>-1.2892956369192632E-6</v>
      </c>
      <c r="H25" s="15">
        <f t="shared" si="6"/>
        <v>4.76837158203125E-7</v>
      </c>
      <c r="I25" s="6" t="str">
        <f>IF(OR(ABS(G25)&lt;=[1]CONFIG!$C$7,H25&lt;=[1]CONFIG!$C$7),"Si","No")</f>
        <v>Si</v>
      </c>
    </row>
  </sheetData>
  <mergeCells count="1">
    <mergeCell ref="B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2781-948C-4E6C-B37F-1F8C4213693D}">
  <dimension ref="B3:I25"/>
  <sheetViews>
    <sheetView workbookViewId="0">
      <selection activeCell="I5" sqref="I5"/>
    </sheetView>
  </sheetViews>
  <sheetFormatPr baseColWidth="10" defaultRowHeight="15" x14ac:dyDescent="0.25"/>
  <cols>
    <col min="2" max="2" width="17" customWidth="1"/>
    <col min="9" max="9" width="17.7109375" customWidth="1"/>
  </cols>
  <sheetData>
    <row r="3" spans="2:9" x14ac:dyDescent="0.25">
      <c r="B3" s="8" t="s">
        <v>25</v>
      </c>
      <c r="C3" s="8"/>
      <c r="D3" s="8"/>
      <c r="E3" s="8"/>
      <c r="F3" s="8"/>
      <c r="G3" s="8"/>
      <c r="H3" s="8"/>
      <c r="I3" s="8"/>
    </row>
    <row r="4" spans="2:9" x14ac:dyDescent="0.25">
      <c r="B4" s="3" t="s">
        <v>23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9</v>
      </c>
      <c r="I4" s="3" t="s">
        <v>24</v>
      </c>
    </row>
    <row r="5" spans="2:9" x14ac:dyDescent="0.25">
      <c r="B5" s="3">
        <v>1</v>
      </c>
      <c r="C5" s="15">
        <v>1.5</v>
      </c>
      <c r="D5" s="15">
        <v>2</v>
      </c>
      <c r="E5" s="15">
        <f>(C5+D5)/2</f>
        <v>1.75</v>
      </c>
      <c r="F5" s="15">
        <f>C5^3 - C5^2*EXP(-0.5*C5) - 3*C5 + 1</f>
        <v>-1.1878247436672833</v>
      </c>
      <c r="G5" s="15">
        <f>E5^3 - E5^2*EXP(-0.5*E5) - 3*E5 + 1</f>
        <v>-0.16726493526543162</v>
      </c>
      <c r="H5" s="15">
        <f>ABS(D5-C5)/2</f>
        <v>0.25</v>
      </c>
      <c r="I5" s="6" t="str">
        <f>IF(OR(ABS(G5)&lt;=[1]CONFIG!$C$7,H5&lt;=[1]CONFIG!$C$7),"Si","No")</f>
        <v>No</v>
      </c>
    </row>
    <row r="6" spans="2:9" x14ac:dyDescent="0.25">
      <c r="B6" s="3">
        <f>B5+1</f>
        <v>2</v>
      </c>
      <c r="C6" s="15">
        <f>IF(F5*G5&lt;0,C5,E5)</f>
        <v>1.75</v>
      </c>
      <c r="D6" s="15">
        <f>IF(F5*G5&lt;0,E5,D5)</f>
        <v>2</v>
      </c>
      <c r="E6" s="15">
        <f>(C6+D6)/2</f>
        <v>1.875</v>
      </c>
      <c r="F6" s="15">
        <f>C6^3 - C6^2*EXP(-0.5*C6) - 3*C6 + 1</f>
        <v>-0.16726493526543162</v>
      </c>
      <c r="G6" s="15">
        <f>E6^3 - E6^2*EXP(-0.5*E6) - 3*E6 + 1</f>
        <v>0.59005834371437871</v>
      </c>
      <c r="H6" s="15">
        <f>ABS(D6-C6)/2</f>
        <v>0.125</v>
      </c>
      <c r="I6" s="6" t="str">
        <f>IF(OR(ABS(G6)&lt;=[1]CONFIG!$C$7,H6&lt;=[1]CONFIG!$C$7),"✓","→")</f>
        <v>→</v>
      </c>
    </row>
    <row r="7" spans="2:9" x14ac:dyDescent="0.25">
      <c r="B7" s="3">
        <f t="shared" ref="B7:B25" si="0">B6+1</f>
        <v>3</v>
      </c>
      <c r="C7" s="15">
        <f t="shared" ref="C7:C25" si="1">IF(F6*G6&lt;0,C6,E6)</f>
        <v>1.75</v>
      </c>
      <c r="D7" s="15">
        <f t="shared" ref="D7:D25" si="2">IF(F6*G6&lt;0,E6,D6)</f>
        <v>1.875</v>
      </c>
      <c r="E7" s="15">
        <f t="shared" ref="E7:E25" si="3">(C7+D7)/2</f>
        <v>1.8125</v>
      </c>
      <c r="F7" s="15">
        <f t="shared" ref="F7:F25" si="4">C7^3 - C7^2*EXP(-0.5*C7) - 3*C7 + 1</f>
        <v>-0.16726493526543162</v>
      </c>
      <c r="G7" s="15">
        <f t="shared" ref="G7:G25" si="5">E7^3 - E7^2*EXP(-0.5*E7) - 3*E7 + 1</f>
        <v>0.18952259218409928</v>
      </c>
      <c r="H7" s="15">
        <f t="shared" ref="H7:H25" si="6">ABS(D7-C7)/2</f>
        <v>6.25E-2</v>
      </c>
      <c r="I7" s="6" t="str">
        <f>IF(OR(ABS(G7)&lt;=[1]CONFIG!$C$7,H7&lt;=[1]CONFIG!$C$7),"✓","→")</f>
        <v>→</v>
      </c>
    </row>
    <row r="8" spans="2:9" x14ac:dyDescent="0.25">
      <c r="B8" s="3">
        <f t="shared" si="0"/>
        <v>4</v>
      </c>
      <c r="C8" s="15">
        <f t="shared" si="1"/>
        <v>1.75</v>
      </c>
      <c r="D8" s="15">
        <f t="shared" si="2"/>
        <v>1.8125</v>
      </c>
      <c r="E8" s="15">
        <f t="shared" si="3"/>
        <v>1.78125</v>
      </c>
      <c r="F8" s="15">
        <f t="shared" si="4"/>
        <v>-0.16726493526543162</v>
      </c>
      <c r="G8" s="15">
        <f t="shared" si="5"/>
        <v>5.7561880955994127E-3</v>
      </c>
      <c r="H8" s="15">
        <f t="shared" si="6"/>
        <v>3.125E-2</v>
      </c>
      <c r="I8" s="6" t="str">
        <f>IF(OR(ABS(G8)&lt;=[1]CONFIG!$C$7,H8&lt;=[1]CONFIG!$C$7),"✓","→")</f>
        <v>→</v>
      </c>
    </row>
    <row r="9" spans="2:9" x14ac:dyDescent="0.25">
      <c r="B9" s="3">
        <f t="shared" si="0"/>
        <v>5</v>
      </c>
      <c r="C9" s="15">
        <f t="shared" si="1"/>
        <v>1.75</v>
      </c>
      <c r="D9" s="15">
        <f t="shared" si="2"/>
        <v>1.78125</v>
      </c>
      <c r="E9" s="15">
        <f t="shared" si="3"/>
        <v>1.765625</v>
      </c>
      <c r="F9" s="15">
        <f t="shared" si="4"/>
        <v>-0.16726493526543162</v>
      </c>
      <c r="G9" s="15">
        <f t="shared" si="5"/>
        <v>-8.2085517878812908E-2</v>
      </c>
      <c r="H9" s="15">
        <f t="shared" si="6"/>
        <v>1.5625E-2</v>
      </c>
      <c r="I9" s="6" t="str">
        <f>IF(OR(ABS(G9)&lt;=[1]CONFIG!$C$7,H9&lt;=[1]CONFIG!$C$7),"✓","→")</f>
        <v>→</v>
      </c>
    </row>
    <row r="10" spans="2:9" x14ac:dyDescent="0.25">
      <c r="B10" s="3">
        <f t="shared" si="0"/>
        <v>6</v>
      </c>
      <c r="C10" s="15">
        <f t="shared" si="1"/>
        <v>1.765625</v>
      </c>
      <c r="D10" s="15">
        <f t="shared" si="2"/>
        <v>1.78125</v>
      </c>
      <c r="E10" s="15">
        <f t="shared" si="3"/>
        <v>1.7734375</v>
      </c>
      <c r="F10" s="15">
        <f t="shared" si="4"/>
        <v>-8.2085517878812908E-2</v>
      </c>
      <c r="G10" s="15">
        <f t="shared" si="5"/>
        <v>-3.8498954300466792E-2</v>
      </c>
      <c r="H10" s="15">
        <f t="shared" si="6"/>
        <v>7.8125E-3</v>
      </c>
      <c r="I10" s="6" t="str">
        <f>IF(OR(ABS(G10)&lt;=[1]CONFIG!$C$7,H10&lt;=[1]CONFIG!$C$7),"✓","→")</f>
        <v>→</v>
      </c>
    </row>
    <row r="11" spans="2:9" x14ac:dyDescent="0.25">
      <c r="B11" s="3">
        <f t="shared" si="0"/>
        <v>7</v>
      </c>
      <c r="C11" s="15">
        <f t="shared" si="1"/>
        <v>1.7734375</v>
      </c>
      <c r="D11" s="15">
        <f t="shared" si="2"/>
        <v>1.78125</v>
      </c>
      <c r="E11" s="15">
        <f t="shared" si="3"/>
        <v>1.77734375</v>
      </c>
      <c r="F11" s="15">
        <f t="shared" si="4"/>
        <v>-3.8498954300466792E-2</v>
      </c>
      <c r="G11" s="15">
        <f t="shared" si="5"/>
        <v>-1.6455143251628002E-2</v>
      </c>
      <c r="H11" s="15">
        <f t="shared" si="6"/>
        <v>3.90625E-3</v>
      </c>
      <c r="I11" s="6" t="str">
        <f>IF(OR(ABS(G11)&lt;=[1]CONFIG!$C$7,H11&lt;=[1]CONFIG!$C$7),"✓","→")</f>
        <v>→</v>
      </c>
    </row>
    <row r="12" spans="2:9" x14ac:dyDescent="0.25">
      <c r="B12" s="3">
        <f t="shared" si="0"/>
        <v>8</v>
      </c>
      <c r="C12" s="15">
        <f t="shared" si="1"/>
        <v>1.77734375</v>
      </c>
      <c r="D12" s="15">
        <f t="shared" si="2"/>
        <v>1.78125</v>
      </c>
      <c r="E12" s="15">
        <f t="shared" si="3"/>
        <v>1.779296875</v>
      </c>
      <c r="F12" s="15">
        <f t="shared" si="4"/>
        <v>-1.6455143251628002E-2</v>
      </c>
      <c r="G12" s="15">
        <f t="shared" si="5"/>
        <v>-5.3704410824852999E-3</v>
      </c>
      <c r="H12" s="15">
        <f t="shared" si="6"/>
        <v>1.953125E-3</v>
      </c>
      <c r="I12" s="6" t="str">
        <f>IF(OR(ABS(G12)&lt;=[1]CONFIG!$C$7,H12&lt;=[1]CONFIG!$C$7),"✓","→")</f>
        <v>→</v>
      </c>
    </row>
    <row r="13" spans="2:9" x14ac:dyDescent="0.25">
      <c r="B13" s="3">
        <f t="shared" si="0"/>
        <v>9</v>
      </c>
      <c r="C13" s="15">
        <f t="shared" si="1"/>
        <v>1.779296875</v>
      </c>
      <c r="D13" s="15">
        <f t="shared" si="2"/>
        <v>1.78125</v>
      </c>
      <c r="E13" s="15">
        <f t="shared" si="3"/>
        <v>1.7802734375</v>
      </c>
      <c r="F13" s="15">
        <f t="shared" si="4"/>
        <v>-5.3704410824852999E-3</v>
      </c>
      <c r="G13" s="15">
        <f t="shared" si="5"/>
        <v>1.8762969750696357E-4</v>
      </c>
      <c r="H13" s="15">
        <f t="shared" si="6"/>
        <v>9.765625E-4</v>
      </c>
      <c r="I13" s="6" t="str">
        <f>IF(OR(ABS(G13)&lt;=[1]CONFIG!$C$7,H13&lt;=[1]CONFIG!$C$7),"✓","→")</f>
        <v>→</v>
      </c>
    </row>
    <row r="14" spans="2:9" x14ac:dyDescent="0.25">
      <c r="B14" s="3">
        <f t="shared" si="0"/>
        <v>10</v>
      </c>
      <c r="C14" s="15">
        <f t="shared" si="1"/>
        <v>1.779296875</v>
      </c>
      <c r="D14" s="15">
        <f t="shared" si="2"/>
        <v>1.7802734375</v>
      </c>
      <c r="E14" s="15">
        <f t="shared" si="3"/>
        <v>1.77978515625</v>
      </c>
      <c r="F14" s="15">
        <f t="shared" si="4"/>
        <v>-5.3704410824852999E-3</v>
      </c>
      <c r="G14" s="15">
        <f t="shared" si="5"/>
        <v>-2.5927162781558266E-3</v>
      </c>
      <c r="H14" s="15">
        <f t="shared" si="6"/>
        <v>4.8828125E-4</v>
      </c>
      <c r="I14" s="6" t="str">
        <f>IF(OR(ABS(G14)&lt;=[1]CONFIG!$C$7,H14&lt;=[1]CONFIG!$C$7),"✓","→")</f>
        <v>→</v>
      </c>
    </row>
    <row r="15" spans="2:9" x14ac:dyDescent="0.25">
      <c r="B15" s="3">
        <f t="shared" si="0"/>
        <v>11</v>
      </c>
      <c r="C15" s="15">
        <f t="shared" si="1"/>
        <v>1.77978515625</v>
      </c>
      <c r="D15" s="15">
        <f t="shared" si="2"/>
        <v>1.7802734375</v>
      </c>
      <c r="E15" s="15">
        <f t="shared" si="3"/>
        <v>1.780029296875</v>
      </c>
      <c r="F15" s="15">
        <f t="shared" si="4"/>
        <v>-2.5927162781558266E-3</v>
      </c>
      <c r="G15" s="15">
        <f t="shared" si="5"/>
        <v>-1.2028709825662176E-3</v>
      </c>
      <c r="H15" s="15">
        <f t="shared" si="6"/>
        <v>2.44140625E-4</v>
      </c>
      <c r="I15" s="6" t="str">
        <f>IF(OR(ABS(G15)&lt;=[1]CONFIG!$C$7,H15&lt;=[1]CONFIG!$C$7),"✓","→")</f>
        <v>→</v>
      </c>
    </row>
    <row r="16" spans="2:9" x14ac:dyDescent="0.25">
      <c r="B16" s="3">
        <f t="shared" si="0"/>
        <v>12</v>
      </c>
      <c r="C16" s="15">
        <f t="shared" si="1"/>
        <v>1.780029296875</v>
      </c>
      <c r="D16" s="15">
        <f t="shared" si="2"/>
        <v>1.7802734375</v>
      </c>
      <c r="E16" s="15">
        <f t="shared" si="3"/>
        <v>1.7801513671875</v>
      </c>
      <c r="F16" s="15">
        <f t="shared" si="4"/>
        <v>-1.2028709825662176E-3</v>
      </c>
      <c r="G16" s="15">
        <f t="shared" si="5"/>
        <v>-5.0770257131826924E-4</v>
      </c>
      <c r="H16" s="15">
        <f t="shared" si="6"/>
        <v>1.220703125E-4</v>
      </c>
      <c r="I16" s="6" t="str">
        <f>IF(OR(ABS(G16)&lt;=[1]CONFIG!$C$7,H16&lt;=[1]CONFIG!$C$7),"✓","→")</f>
        <v>→</v>
      </c>
    </row>
    <row r="17" spans="2:9" x14ac:dyDescent="0.25">
      <c r="B17" s="3">
        <f t="shared" si="0"/>
        <v>13</v>
      </c>
      <c r="C17" s="15">
        <f t="shared" si="1"/>
        <v>1.7801513671875</v>
      </c>
      <c r="D17" s="15">
        <f t="shared" si="2"/>
        <v>1.7802734375</v>
      </c>
      <c r="E17" s="15">
        <f t="shared" si="3"/>
        <v>1.78021240234375</v>
      </c>
      <c r="F17" s="15">
        <f t="shared" si="4"/>
        <v>-5.0770257131826924E-4</v>
      </c>
      <c r="G17" s="15">
        <f t="shared" si="5"/>
        <v>-1.6005691981924031E-4</v>
      </c>
      <c r="H17" s="15">
        <f t="shared" si="6"/>
        <v>6.103515625E-5</v>
      </c>
      <c r="I17" s="6" t="str">
        <f>IF(OR(ABS(G17)&lt;=[1]CONFIG!$C$7,H17&lt;=[1]CONFIG!$C$7),"✓","→")</f>
        <v>→</v>
      </c>
    </row>
    <row r="18" spans="2:9" x14ac:dyDescent="0.25">
      <c r="B18" s="3">
        <f t="shared" si="0"/>
        <v>14</v>
      </c>
      <c r="C18" s="15">
        <f t="shared" si="1"/>
        <v>1.78021240234375</v>
      </c>
      <c r="D18" s="15">
        <f t="shared" si="2"/>
        <v>1.7802734375</v>
      </c>
      <c r="E18" s="15">
        <f t="shared" si="3"/>
        <v>1.780242919921875</v>
      </c>
      <c r="F18" s="15">
        <f t="shared" si="4"/>
        <v>-1.6005691981924031E-4</v>
      </c>
      <c r="G18" s="15">
        <f t="shared" si="5"/>
        <v>1.3781268026313853E-5</v>
      </c>
      <c r="H18" s="15">
        <f t="shared" si="6"/>
        <v>3.0517578125E-5</v>
      </c>
      <c r="I18" s="6" t="str">
        <f>IF(OR(ABS(G18)&lt;=[1]CONFIG!$C$7,H18&lt;=[1]CONFIG!$C$7),"✓","→")</f>
        <v>→</v>
      </c>
    </row>
    <row r="19" spans="2:9" x14ac:dyDescent="0.25">
      <c r="B19" s="3">
        <f t="shared" si="0"/>
        <v>15</v>
      </c>
      <c r="C19" s="15">
        <f t="shared" si="1"/>
        <v>1.78021240234375</v>
      </c>
      <c r="D19" s="15">
        <f t="shared" si="2"/>
        <v>1.780242919921875</v>
      </c>
      <c r="E19" s="15">
        <f t="shared" si="3"/>
        <v>1.7802276611328125</v>
      </c>
      <c r="F19" s="15">
        <f t="shared" si="4"/>
        <v>-1.6005691981924031E-4</v>
      </c>
      <c r="G19" s="15">
        <f t="shared" si="5"/>
        <v>-7.3139106088859762E-5</v>
      </c>
      <c r="H19" s="15">
        <f t="shared" si="6"/>
        <v>1.52587890625E-5</v>
      </c>
      <c r="I19" s="6" t="str">
        <f>IF(OR(ABS(G19)&lt;=[1]CONFIG!$C$7,H19&lt;=[1]CONFIG!$C$7),"✓","→")</f>
        <v>→</v>
      </c>
    </row>
    <row r="20" spans="2:9" x14ac:dyDescent="0.25">
      <c r="B20" s="3">
        <f t="shared" si="0"/>
        <v>16</v>
      </c>
      <c r="C20" s="15">
        <f t="shared" si="1"/>
        <v>1.7802276611328125</v>
      </c>
      <c r="D20" s="15">
        <f t="shared" si="2"/>
        <v>1.780242919921875</v>
      </c>
      <c r="E20" s="15">
        <f t="shared" si="3"/>
        <v>1.7802352905273438</v>
      </c>
      <c r="F20" s="15">
        <f t="shared" si="4"/>
        <v>-7.3139106088859762E-5</v>
      </c>
      <c r="G20" s="15">
        <f t="shared" si="5"/>
        <v>-2.9679239080593334E-5</v>
      </c>
      <c r="H20" s="15">
        <f t="shared" si="6"/>
        <v>7.62939453125E-6</v>
      </c>
      <c r="I20" s="6" t="str">
        <f>IF(OR(ABS(G20)&lt;=[1]CONFIG!$C$7,H20&lt;=[1]CONFIG!$C$7),"✓","→")</f>
        <v>→</v>
      </c>
    </row>
    <row r="21" spans="2:9" x14ac:dyDescent="0.25">
      <c r="B21" s="3">
        <f t="shared" si="0"/>
        <v>17</v>
      </c>
      <c r="C21" s="15">
        <f t="shared" si="1"/>
        <v>1.7802352905273438</v>
      </c>
      <c r="D21" s="15">
        <f t="shared" si="2"/>
        <v>1.780242919921875</v>
      </c>
      <c r="E21" s="15">
        <f t="shared" si="3"/>
        <v>1.7802391052246094</v>
      </c>
      <c r="F21" s="15">
        <f t="shared" si="4"/>
        <v>-2.9679239080593334E-5</v>
      </c>
      <c r="G21" s="15">
        <f t="shared" si="5"/>
        <v>-7.9490655400249466E-6</v>
      </c>
      <c r="H21" s="15">
        <f t="shared" si="6"/>
        <v>3.814697265625E-6</v>
      </c>
      <c r="I21" s="6" t="str">
        <f>IF(OR(ABS(G21)&lt;=[1]CONFIG!$C$7,H21&lt;=[1]CONFIG!$C$7),"✓","→")</f>
        <v>→</v>
      </c>
    </row>
    <row r="22" spans="2:9" x14ac:dyDescent="0.25">
      <c r="B22" s="3">
        <f t="shared" si="0"/>
        <v>18</v>
      </c>
      <c r="C22" s="15">
        <f t="shared" si="1"/>
        <v>1.7802391052246094</v>
      </c>
      <c r="D22" s="15">
        <f t="shared" si="2"/>
        <v>1.780242919921875</v>
      </c>
      <c r="E22" s="15">
        <f t="shared" si="3"/>
        <v>1.7802410125732422</v>
      </c>
      <c r="F22" s="15">
        <f t="shared" si="4"/>
        <v>-7.9490655400249466E-6</v>
      </c>
      <c r="G22" s="15">
        <f t="shared" si="5"/>
        <v>2.9160812404782632E-6</v>
      </c>
      <c r="H22" s="15">
        <f t="shared" si="6"/>
        <v>1.9073486328125E-6</v>
      </c>
      <c r="I22" s="6" t="str">
        <f>IF(OR(ABS(G22)&lt;=[1]CONFIG!$C$7,H22&lt;=[1]CONFIG!$C$7),"✓","→")</f>
        <v>→</v>
      </c>
    </row>
    <row r="23" spans="2:9" x14ac:dyDescent="0.25">
      <c r="B23" s="3">
        <f t="shared" si="0"/>
        <v>19</v>
      </c>
      <c r="C23" s="15">
        <f t="shared" si="1"/>
        <v>1.7802391052246094</v>
      </c>
      <c r="D23" s="15">
        <f t="shared" si="2"/>
        <v>1.7802410125732422</v>
      </c>
      <c r="E23" s="15">
        <f t="shared" si="3"/>
        <v>1.7802400588989258</v>
      </c>
      <c r="F23" s="15">
        <f t="shared" si="4"/>
        <v>-7.9490655400249466E-6</v>
      </c>
      <c r="G23" s="15">
        <f t="shared" si="5"/>
        <v>-2.516497151106023E-6</v>
      </c>
      <c r="H23" s="15">
        <f t="shared" si="6"/>
        <v>9.5367431640625E-7</v>
      </c>
      <c r="I23" s="6" t="str">
        <f>IF(OR(ABS(G23)&lt;=[1]CONFIG!$C$7,H23&lt;=[1]CONFIG!$C$7),"✓","→")</f>
        <v>✓</v>
      </c>
    </row>
    <row r="24" spans="2:9" x14ac:dyDescent="0.25">
      <c r="B24" s="3">
        <f t="shared" si="0"/>
        <v>20</v>
      </c>
      <c r="C24" s="15">
        <f t="shared" si="1"/>
        <v>1.7802400588989258</v>
      </c>
      <c r="D24" s="15">
        <f t="shared" si="2"/>
        <v>1.7802410125732422</v>
      </c>
      <c r="E24" s="15">
        <f t="shared" si="3"/>
        <v>1.780240535736084</v>
      </c>
      <c r="F24" s="15">
        <f t="shared" si="4"/>
        <v>-2.516497151106023E-6</v>
      </c>
      <c r="G24" s="15">
        <f t="shared" si="5"/>
        <v>1.9979079457499438E-7</v>
      </c>
      <c r="H24" s="15">
        <f t="shared" si="6"/>
        <v>4.76837158203125E-7</v>
      </c>
      <c r="I24" s="6" t="str">
        <f>IF(OR(ABS(G24)&lt;=[1]CONFIG!$C$7,H24&lt;=[1]CONFIG!$C$7),"✓","→")</f>
        <v>✓</v>
      </c>
    </row>
    <row r="25" spans="2:9" x14ac:dyDescent="0.25">
      <c r="B25" s="3">
        <f t="shared" si="0"/>
        <v>21</v>
      </c>
      <c r="C25" s="15">
        <f t="shared" si="1"/>
        <v>1.7802400588989258</v>
      </c>
      <c r="D25" s="15">
        <f t="shared" si="2"/>
        <v>1.780240535736084</v>
      </c>
      <c r="E25" s="15">
        <f t="shared" si="3"/>
        <v>1.7802402973175049</v>
      </c>
      <c r="F25" s="15">
        <f t="shared" si="4"/>
        <v>-2.516497151106023E-6</v>
      </c>
      <c r="G25" s="15">
        <f t="shared" si="5"/>
        <v>-1.1583534913484073E-6</v>
      </c>
      <c r="H25" s="15">
        <f t="shared" si="6"/>
        <v>2.384185791015625E-7</v>
      </c>
      <c r="I25" s="6" t="str">
        <f>IF(OR(ABS(G25)&lt;=[1]CONFIG!$C$7,H25&lt;=[1]CONFIG!$C$7),"✓","→")</f>
        <v>✓</v>
      </c>
    </row>
  </sheetData>
  <mergeCells count="1">
    <mergeCell ref="B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4458-01FF-4A4A-BC9E-F869FC355136}">
  <dimension ref="B3:D13"/>
  <sheetViews>
    <sheetView workbookViewId="0">
      <selection activeCell="J14" sqref="J14"/>
    </sheetView>
  </sheetViews>
  <sheetFormatPr baseColWidth="10" defaultRowHeight="15" x14ac:dyDescent="0.25"/>
  <cols>
    <col min="2" max="2" width="18.28515625" customWidth="1"/>
    <col min="3" max="3" width="13.5703125" customWidth="1"/>
    <col min="4" max="4" width="14.5703125" customWidth="1"/>
  </cols>
  <sheetData>
    <row r="3" spans="2:4" ht="20.25" customHeight="1" x14ac:dyDescent="0.25">
      <c r="B3" s="8" t="s">
        <v>26</v>
      </c>
      <c r="C3" s="8"/>
      <c r="D3" s="8"/>
    </row>
    <row r="4" spans="2:4" ht="18.75" customHeight="1" x14ac:dyDescent="0.25">
      <c r="B4" s="16" t="s">
        <v>17</v>
      </c>
      <c r="C4" s="16"/>
      <c r="D4" s="16"/>
    </row>
    <row r="5" spans="2:4" x14ac:dyDescent="0.25">
      <c r="B5" s="2"/>
      <c r="C5" s="2"/>
      <c r="D5" s="2"/>
    </row>
    <row r="6" spans="2:4" x14ac:dyDescent="0.25">
      <c r="B6" s="9" t="s">
        <v>11</v>
      </c>
      <c r="C6" s="4">
        <f>'[1]RAÍZ 1'!E24</f>
        <v>-1.2340936660766602</v>
      </c>
      <c r="D6" s="4">
        <f>'[1]RAÍZ 1'!G24</f>
        <v>-2.9526938138957348E-6</v>
      </c>
    </row>
    <row r="7" spans="2:4" x14ac:dyDescent="0.25">
      <c r="B7" s="9" t="s">
        <v>12</v>
      </c>
      <c r="C7" s="4">
        <f>COUNTIF('[1]RAÍZ 1'!I5:I24,"→")+1</f>
        <v>20</v>
      </c>
      <c r="D7" s="4"/>
    </row>
    <row r="8" spans="2:4" x14ac:dyDescent="0.25">
      <c r="B8" s="2"/>
      <c r="C8" s="2"/>
      <c r="D8" s="2"/>
    </row>
    <row r="9" spans="2:4" x14ac:dyDescent="0.25">
      <c r="B9" s="3" t="s">
        <v>13</v>
      </c>
      <c r="C9" s="4">
        <f>'[1]RAÍZ 2'!E24</f>
        <v>0.31546688079833984</v>
      </c>
      <c r="D9" s="6">
        <f>'[1]RAÍZ 2'!G24</f>
        <v>-2.814130159345396E-6</v>
      </c>
    </row>
    <row r="10" spans="2:4" x14ac:dyDescent="0.25">
      <c r="B10" s="3" t="s">
        <v>12</v>
      </c>
      <c r="C10" s="6">
        <f>COUNTIF('[1]RAÍZ 2'!I5:I24,"→")+1</f>
        <v>19</v>
      </c>
      <c r="D10" s="4"/>
    </row>
    <row r="11" spans="2:4" x14ac:dyDescent="0.25">
      <c r="B11" s="2"/>
      <c r="C11" s="2"/>
      <c r="D11" s="2"/>
    </row>
    <row r="12" spans="2:4" x14ac:dyDescent="0.25">
      <c r="B12" s="3" t="s">
        <v>14</v>
      </c>
      <c r="C12" s="4">
        <f>'[1]RAÍZ 3'!E24</f>
        <v>1.780240535736084</v>
      </c>
      <c r="D12" s="6">
        <f>'[1]RAÍZ 3'!G24</f>
        <v>1.9979079457499438E-7</v>
      </c>
    </row>
    <row r="13" spans="2:4" x14ac:dyDescent="0.25">
      <c r="B13" s="3" t="s">
        <v>12</v>
      </c>
      <c r="C13" s="6">
        <f>COUNTIF('[1]RAÍZ 3'!I5:I24,"→")+1</f>
        <v>19</v>
      </c>
      <c r="D13" s="4"/>
    </row>
  </sheetData>
  <mergeCells count="2">
    <mergeCell ref="B3:D3"/>
    <mergeCell ref="B4:D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99B5B-F157-4A29-96D4-2FBF92692981}">
  <dimension ref="B3:H11"/>
  <sheetViews>
    <sheetView workbookViewId="0">
      <selection activeCell="K28" sqref="K28"/>
    </sheetView>
  </sheetViews>
  <sheetFormatPr baseColWidth="10" defaultRowHeight="15" x14ac:dyDescent="0.25"/>
  <cols>
    <col min="2" max="2" width="15.85546875" customWidth="1"/>
    <col min="8" max="8" width="16.5703125" customWidth="1"/>
  </cols>
  <sheetData>
    <row r="3" spans="2:8" ht="20.25" customHeight="1" x14ac:dyDescent="0.25">
      <c r="B3" s="8" t="s">
        <v>27</v>
      </c>
      <c r="C3" s="8"/>
      <c r="D3" s="8"/>
      <c r="E3" s="8"/>
      <c r="F3" s="8"/>
      <c r="G3" s="8"/>
      <c r="H3" s="8"/>
    </row>
    <row r="4" spans="2:8" ht="18" customHeight="1" x14ac:dyDescent="0.25">
      <c r="B4" s="3" t="s">
        <v>23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9</v>
      </c>
      <c r="H4" s="3" t="s">
        <v>24</v>
      </c>
    </row>
    <row r="5" spans="2:8" x14ac:dyDescent="0.25">
      <c r="B5" s="3">
        <v>1</v>
      </c>
      <c r="C5" s="15">
        <v>-1</v>
      </c>
      <c r="D5" s="17">
        <f t="shared" ref="D5:D11" si="0">C5^3 - C5^2*EXP(-0.5*C5) - 3*C5 + 1</f>
        <v>1.3512787292998718</v>
      </c>
      <c r="E5" s="15">
        <f t="shared" ref="E5:E11" si="1">3*C5^2 - (2*C5*EXP(-0.5*C5) - 0.5*C5^2*EXP(-0.5*C5)) - 3</f>
        <v>4.1218031767503209</v>
      </c>
      <c r="F5" s="15">
        <f t="shared" ref="F5:F11" si="2">C5 - D5/E5</f>
        <v>-1.3278367916551601</v>
      </c>
      <c r="G5" s="15">
        <f t="shared" ref="G5:G11" si="3">ABS(F5-C5)</f>
        <v>0.32783679165516011</v>
      </c>
      <c r="H5" s="6" t="str">
        <f>IF(OR(ABS(D5)&lt;=[1]CONFIG!$C$7,G5&lt;=[1]CONFIG!$C$7),"Si","No")</f>
        <v>No</v>
      </c>
    </row>
    <row r="6" spans="2:8" x14ac:dyDescent="0.25">
      <c r="B6" s="3">
        <f t="shared" ref="B6:B11" si="4">B5+1</f>
        <v>2</v>
      </c>
      <c r="C6" s="15">
        <f t="shared" ref="C6:C11" si="5">F5</f>
        <v>-1.3278367916551601</v>
      </c>
      <c r="D6" s="17">
        <f t="shared" si="0"/>
        <v>-0.78238911225287255</v>
      </c>
      <c r="E6" s="15">
        <f t="shared" si="1"/>
        <v>9.1601630972725516</v>
      </c>
      <c r="F6" s="15">
        <f t="shared" si="2"/>
        <v>-1.2424246539077624</v>
      </c>
      <c r="G6" s="15">
        <f t="shared" si="3"/>
        <v>8.5412137747397754E-2</v>
      </c>
      <c r="H6" s="6" t="str">
        <f>IF(OR(ABS(D6)&lt;=[1]CONFIG!$C$7,G6&lt;=[1]CONFIG!$C$7),"Si","No")</f>
        <v>No</v>
      </c>
    </row>
    <row r="7" spans="2:8" x14ac:dyDescent="0.25">
      <c r="B7" s="3">
        <f t="shared" si="4"/>
        <v>3</v>
      </c>
      <c r="C7" s="15">
        <f t="shared" si="5"/>
        <v>-1.2424246539077624</v>
      </c>
      <c r="D7" s="17">
        <f t="shared" si="0"/>
        <v>-6.3513902615857099E-2</v>
      </c>
      <c r="E7" s="15">
        <f t="shared" si="1"/>
        <v>7.6920952116400816</v>
      </c>
      <c r="F7" s="15">
        <f t="shared" si="2"/>
        <v>-1.2341676184878492</v>
      </c>
      <c r="G7" s="15">
        <f t="shared" si="3"/>
        <v>8.2570354199131835E-3</v>
      </c>
      <c r="H7" s="6" t="str">
        <f>IF(OR(ABS(D7)&lt;=[1]CONFIG!$C$7,G7&lt;=[1]CONFIG!$C$7),"Si","No")</f>
        <v>No</v>
      </c>
    </row>
    <row r="8" spans="2:8" x14ac:dyDescent="0.25">
      <c r="B8" s="3">
        <f t="shared" si="4"/>
        <v>4</v>
      </c>
      <c r="C8" s="15">
        <f t="shared" si="5"/>
        <v>-1.2341676184878492</v>
      </c>
      <c r="D8" s="17">
        <f t="shared" si="0"/>
        <v>-5.6170813630496141E-4</v>
      </c>
      <c r="E8" s="15">
        <f t="shared" si="1"/>
        <v>7.556214308920179</v>
      </c>
      <c r="F8" s="15">
        <f t="shared" si="2"/>
        <v>-1.2340932812452379</v>
      </c>
      <c r="G8" s="15">
        <f t="shared" si="3"/>
        <v>7.4337242611299814E-5</v>
      </c>
      <c r="H8" s="6" t="str">
        <f>IF(OR(ABS(D8)&lt;=[1]CONFIG!$C$7,G8&lt;=[1]CONFIG!$C$7),"Si","No")</f>
        <v>No</v>
      </c>
    </row>
    <row r="9" spans="2:8" x14ac:dyDescent="0.25">
      <c r="B9" s="3">
        <f t="shared" si="4"/>
        <v>5</v>
      </c>
      <c r="C9" s="15">
        <f t="shared" si="5"/>
        <v>-1.2340932812452379</v>
      </c>
      <c r="D9" s="17">
        <f t="shared" si="0"/>
        <v>-4.5292842809629974E-8</v>
      </c>
      <c r="E9" s="15">
        <f t="shared" si="1"/>
        <v>7.5549957456323238</v>
      </c>
      <c r="F9" s="15">
        <f t="shared" si="2"/>
        <v>-1.2340932752501528</v>
      </c>
      <c r="G9" s="15">
        <f t="shared" si="3"/>
        <v>5.9950850950230006E-9</v>
      </c>
      <c r="H9" s="6" t="str">
        <f>IF(OR(ABS(D9)&lt;=[1]CONFIG!$C$7,G9&lt;=[1]CONFIG!$C$7),"Si","No")</f>
        <v>Si</v>
      </c>
    </row>
    <row r="10" spans="2:8" x14ac:dyDescent="0.25">
      <c r="B10" s="3">
        <f t="shared" si="4"/>
        <v>6</v>
      </c>
      <c r="C10" s="15">
        <f t="shared" si="5"/>
        <v>-1.2340932752501528</v>
      </c>
      <c r="D10" s="17">
        <f t="shared" si="0"/>
        <v>0</v>
      </c>
      <c r="E10" s="15">
        <f t="shared" si="1"/>
        <v>7.5549956473621158</v>
      </c>
      <c r="F10" s="15">
        <f t="shared" si="2"/>
        <v>-1.2340932752501528</v>
      </c>
      <c r="G10" s="15">
        <f t="shared" si="3"/>
        <v>0</v>
      </c>
      <c r="H10" s="6" t="str">
        <f>IF(OR(ABS(D10)&lt;=[1]CONFIG!$C$7,G10&lt;=[1]CONFIG!$C$7),"Si","No")</f>
        <v>Si</v>
      </c>
    </row>
    <row r="11" spans="2:8" x14ac:dyDescent="0.25">
      <c r="B11" s="3">
        <f t="shared" si="4"/>
        <v>7</v>
      </c>
      <c r="C11" s="15">
        <f t="shared" si="5"/>
        <v>-1.2340932752501528</v>
      </c>
      <c r="D11" s="17">
        <f t="shared" si="0"/>
        <v>0</v>
      </c>
      <c r="E11" s="15">
        <f t="shared" si="1"/>
        <v>7.5549956473621158</v>
      </c>
      <c r="F11" s="15">
        <f t="shared" si="2"/>
        <v>-1.2340932752501528</v>
      </c>
      <c r="G11" s="15">
        <f t="shared" si="3"/>
        <v>0</v>
      </c>
      <c r="H11" s="6" t="str">
        <f>IF(OR(ABS(D11)&lt;=[1]CONFIG!$C$7,G11&lt;=[1]CONFIG!$C$7),"Si","No")</f>
        <v>Si</v>
      </c>
    </row>
  </sheetData>
  <mergeCells count="1">
    <mergeCell ref="B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9F17-DCCA-47AD-A187-16921E58FBFA}">
  <dimension ref="B3:H9"/>
  <sheetViews>
    <sheetView workbookViewId="0">
      <selection activeCell="K10" sqref="K10"/>
    </sheetView>
  </sheetViews>
  <sheetFormatPr baseColWidth="10" defaultRowHeight="15" x14ac:dyDescent="0.25"/>
  <cols>
    <col min="2" max="2" width="15" customWidth="1"/>
    <col min="8" max="8" width="17.85546875" customWidth="1"/>
  </cols>
  <sheetData>
    <row r="3" spans="2:8" ht="18" customHeight="1" x14ac:dyDescent="0.25">
      <c r="B3" s="8" t="s">
        <v>27</v>
      </c>
      <c r="C3" s="8"/>
      <c r="D3" s="8"/>
      <c r="E3" s="8"/>
      <c r="F3" s="8"/>
      <c r="G3" s="8"/>
      <c r="H3" s="8"/>
    </row>
    <row r="4" spans="2:8" ht="21.75" customHeight="1" x14ac:dyDescent="0.25">
      <c r="B4" s="3" t="s">
        <v>23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9</v>
      </c>
      <c r="H4" s="3" t="s">
        <v>24</v>
      </c>
    </row>
    <row r="5" spans="2:8" x14ac:dyDescent="0.25">
      <c r="B5" s="3">
        <v>1</v>
      </c>
      <c r="C5" s="15">
        <v>0.5</v>
      </c>
      <c r="D5" s="17">
        <f>C5^3 - C5^2*EXP(-0.5*C5) - 3*C5 + 1</f>
        <v>-0.56970019576785114</v>
      </c>
      <c r="E5" s="15">
        <f>3*C5^2 - (2*C5*EXP(-0.5*C5) - 0.5*C5^2*EXP(-0.5*C5)) - 3</f>
        <v>-2.9314506851874791</v>
      </c>
      <c r="F5" s="15">
        <f>C5 - D5/E5</f>
        <v>0.30565929399852199</v>
      </c>
      <c r="G5" s="15">
        <f>ABS(F5-C5)</f>
        <v>0.19434070600147801</v>
      </c>
      <c r="H5" s="6" t="str">
        <f>IF(OR(ABS(D5)&lt;=[1]CONFIG!$C$7,G5&lt;=[1]CONFIG!$C$7),"Si","No")</f>
        <v>No</v>
      </c>
    </row>
    <row r="6" spans="2:8" x14ac:dyDescent="0.25">
      <c r="B6" s="3">
        <f>B5+1</f>
        <v>2</v>
      </c>
      <c r="C6" s="15">
        <f>F5</f>
        <v>0.30565929399852199</v>
      </c>
      <c r="D6" s="17">
        <f>C6^3 - C6^2*EXP(-0.5*C6) - 3*C6 + 1</f>
        <v>3.1392470773618286E-2</v>
      </c>
      <c r="E6" s="15">
        <f>3*C6^2 - (2*C6*EXP(-0.5*C6) - 0.5*C6^2*EXP(-0.5*C6)) - 3</f>
        <v>-3.2043038796807681</v>
      </c>
      <c r="F6" s="15">
        <f>C6 - D6/E6</f>
        <v>0.31545626455823861</v>
      </c>
      <c r="G6" s="15">
        <f>ABS(F6-C6)</f>
        <v>9.7969705597166223E-3</v>
      </c>
      <c r="H6" s="6" t="str">
        <f>IF(OR(ABS(D6)&lt;=[1]CONFIG!$C$7,G6&lt;=[1]CONFIG!$C$7),"Si","No")</f>
        <v>No</v>
      </c>
    </row>
    <row r="7" spans="2:8" x14ac:dyDescent="0.25">
      <c r="B7" s="3">
        <f>B6+1</f>
        <v>3</v>
      </c>
      <c r="C7" s="15">
        <f>F6</f>
        <v>0.31545626455823861</v>
      </c>
      <c r="D7" s="17">
        <f>C7^3 - C7^2*EXP(-0.5*C7) - 3*C7 + 1</f>
        <v>3.113462393733446E-5</v>
      </c>
      <c r="E7" s="15">
        <f>3*C7^2 - (2*C7*EXP(-0.5*C7) - 0.5*C7^2*EXP(-0.5*C7)) - 3</f>
        <v>-3.1978170561237667</v>
      </c>
      <c r="F7" s="15">
        <f>C7 - D7/E7</f>
        <v>0.31546600076997022</v>
      </c>
      <c r="G7" s="15">
        <f>ABS(F7-C7)</f>
        <v>9.7362117316146524E-6</v>
      </c>
      <c r="H7" s="6" t="str">
        <f>IF(OR(ABS(D7)&lt;=[1]CONFIG!$C$7,G7&lt;=[1]CONFIG!$C$7),"Si","No")</f>
        <v>No</v>
      </c>
    </row>
    <row r="8" spans="2:8" x14ac:dyDescent="0.25">
      <c r="B8" s="3">
        <f>B7+1</f>
        <v>4</v>
      </c>
      <c r="C8" s="15">
        <f>F7</f>
        <v>0.31546600076997022</v>
      </c>
      <c r="D8" s="17">
        <f>C8^3 - C8^2*EXP(-0.5*C8) - 3*C8 + 1</f>
        <v>3.3282265832212943E-11</v>
      </c>
      <c r="E8" s="15">
        <f>3*C8^2 - (2*C8*EXP(-0.5*C8) - 0.5*C8^2*EXP(-0.5*C8)) - 3</f>
        <v>-3.19781021919554</v>
      </c>
      <c r="F8" s="15">
        <f>C8 - D8/E8</f>
        <v>0.31546600078037806</v>
      </c>
      <c r="G8" s="15">
        <f>ABS(F8-C8)</f>
        <v>1.0407841255499761E-11</v>
      </c>
      <c r="H8" s="6" t="str">
        <f>IF(OR(ABS(D8)&lt;=[1]CONFIG!$C$7,G8&lt;=[1]CONFIG!$C$7),"Si","No")</f>
        <v>Si</v>
      </c>
    </row>
    <row r="9" spans="2:8" x14ac:dyDescent="0.25">
      <c r="B9" s="3">
        <f>B8+1</f>
        <v>5</v>
      </c>
      <c r="C9" s="15">
        <f>F8</f>
        <v>0.31546600078037806</v>
      </c>
      <c r="D9" s="17">
        <f>C9^3 - C9^2*EXP(-0.5*C9) - 3*C9 + 1</f>
        <v>0</v>
      </c>
      <c r="E9" s="15">
        <f>3*C9^2 - (2*C9*EXP(-0.5*C9) - 0.5*C9^2*EXP(-0.5*C9)) - 3</f>
        <v>-3.1978102191882312</v>
      </c>
      <c r="F9" s="15">
        <f>C9 - D9/E9</f>
        <v>0.31546600078037806</v>
      </c>
      <c r="G9" s="15">
        <f>ABS(F9-C9)</f>
        <v>0</v>
      </c>
      <c r="H9" s="6" t="str">
        <f>IF(OR(ABS(D9)&lt;=[1]CONFIG!$C$7,G9&lt;=[1]CONFIG!$C$7),"Si","No")</f>
        <v>Si</v>
      </c>
    </row>
  </sheetData>
  <mergeCells count="1">
    <mergeCell ref="B3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529A-FF27-4406-AD84-7E84839E1529}">
  <dimension ref="B3:H9"/>
  <sheetViews>
    <sheetView workbookViewId="0">
      <selection activeCell="L10" sqref="L10"/>
    </sheetView>
  </sheetViews>
  <sheetFormatPr baseColWidth="10" defaultRowHeight="15" x14ac:dyDescent="0.25"/>
  <cols>
    <col min="2" max="2" width="15" customWidth="1"/>
    <col min="8" max="8" width="16.28515625" customWidth="1"/>
  </cols>
  <sheetData>
    <row r="3" spans="2:8" ht="18" customHeight="1" x14ac:dyDescent="0.25">
      <c r="B3" s="8" t="s">
        <v>27</v>
      </c>
      <c r="C3" s="8"/>
      <c r="D3" s="8"/>
      <c r="E3" s="8"/>
      <c r="F3" s="8"/>
      <c r="G3" s="8"/>
      <c r="H3" s="8"/>
    </row>
    <row r="4" spans="2:8" ht="19.5" customHeight="1" x14ac:dyDescent="0.25">
      <c r="B4" s="3" t="s">
        <v>23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9</v>
      </c>
      <c r="H4" s="3" t="s">
        <v>24</v>
      </c>
    </row>
    <row r="5" spans="2:8" x14ac:dyDescent="0.25">
      <c r="B5" s="3">
        <v>1</v>
      </c>
      <c r="C5" s="15">
        <v>1.8</v>
      </c>
      <c r="D5" s="17">
        <f>C5^3 - C5^2*EXP(-0.5*C5) - 3*C5 + 1</f>
        <v>0.11471430244045955</v>
      </c>
      <c r="E5" s="15">
        <f>3*C5^2 - (2*C5*EXP(-0.5*C5) - 0.5*C5^2*EXP(-0.5*C5)) - 3</f>
        <v>5.9149920737136146</v>
      </c>
      <c r="F5" s="15">
        <f>C5 - D5/E5</f>
        <v>1.7806061781637454</v>
      </c>
      <c r="G5" s="5">
        <f>ABS(F5-C5)</f>
        <v>1.9393821836254599E-2</v>
      </c>
      <c r="H5" s="6" t="str">
        <f>IF(OR(ABS(D5)&lt;=[1]CONFIG!$C$7,G5&lt;=[1]CONFIG!$C$7),"Si","No")</f>
        <v>No</v>
      </c>
    </row>
    <row r="6" spans="2:8" x14ac:dyDescent="0.25">
      <c r="B6" s="3">
        <f>B5+1</f>
        <v>2</v>
      </c>
      <c r="C6" s="15">
        <f>F5</f>
        <v>1.7806061781637454</v>
      </c>
      <c r="D6" s="17">
        <f>C6^3 - C6^2*EXP(-0.5*C6) - 3*C6 + 1</f>
        <v>2.0838065532355898E-3</v>
      </c>
      <c r="E6" s="15">
        <f>3*C6^2 - (2*C6*EXP(-0.5*C6) - 0.5*C6^2*EXP(-0.5*C6)) - 3</f>
        <v>5.7004926573835668</v>
      </c>
      <c r="F6" s="15">
        <f>C6 - D6/E6</f>
        <v>1.780240629661453</v>
      </c>
      <c r="G6" s="5">
        <f>ABS(F6-C6)</f>
        <v>3.6554850229242319E-4</v>
      </c>
      <c r="H6" s="6" t="str">
        <f>IF(OR(ABS(D6)&lt;=[1]CONFIG!$C$7,G6&lt;=[1]CONFIG!$C$7),"Si","No")</f>
        <v>No</v>
      </c>
    </row>
    <row r="7" spans="2:8" x14ac:dyDescent="0.25">
      <c r="B7" s="3">
        <f>B6+1</f>
        <v>3</v>
      </c>
      <c r="C7" s="15">
        <f>F6</f>
        <v>1.780240629661453</v>
      </c>
      <c r="D7" s="17">
        <f>C7^3 - C7^2*EXP(-0.5*C7) - 3*C7 + 1</f>
        <v>7.3483401319407449E-7</v>
      </c>
      <c r="E7" s="15">
        <f>3*C7^2 - (2*C7*EXP(-0.5*C7) - 0.5*C7^2*EXP(-0.5*C7)) - 3</f>
        <v>5.6964723516064684</v>
      </c>
      <c r="F7" s="15">
        <f>C7 - D7/E7</f>
        <v>1.7802405006633699</v>
      </c>
      <c r="G7" s="5">
        <f>ABS(F7-C7)</f>
        <v>1.289980831042925E-7</v>
      </c>
      <c r="H7" s="6" t="str">
        <f>IF(OR(ABS(D7)&lt;=[1]CONFIG!$C$7,G7&lt;=[1]CONFIG!$C$7),"Si","No")</f>
        <v>Si</v>
      </c>
    </row>
    <row r="8" spans="2:8" x14ac:dyDescent="0.25">
      <c r="B8" s="3">
        <f>B7+1</f>
        <v>4</v>
      </c>
      <c r="C8" s="15">
        <f>F7</f>
        <v>1.7802405006633699</v>
      </c>
      <c r="D8" s="17">
        <f>C8^3 - C8^2*EXP(-0.5*C8) - 3*C8 + 1</f>
        <v>9.0594198809412774E-14</v>
      </c>
      <c r="E8" s="15">
        <f>3*C8^2 - (2*C8*EXP(-0.5*C8) - 0.5*C8^2*EXP(-0.5*C8)) - 3</f>
        <v>5.6964709330329111</v>
      </c>
      <c r="F8" s="15">
        <f>C8 - D8/E8</f>
        <v>1.7802405006633539</v>
      </c>
      <c r="G8" s="5">
        <f>ABS(F8-C8)</f>
        <v>1.5987211554602254E-14</v>
      </c>
      <c r="H8" s="6" t="str">
        <f>IF(OR(ABS(D8)&lt;=[1]CONFIG!$C$7,G8&lt;=[1]CONFIG!$C$7),"Si","No")</f>
        <v>Si</v>
      </c>
    </row>
    <row r="9" spans="2:8" x14ac:dyDescent="0.25">
      <c r="B9" s="3">
        <f>B8+1</f>
        <v>5</v>
      </c>
      <c r="C9" s="15">
        <f>F8</f>
        <v>1.7802405006633539</v>
      </c>
      <c r="D9" s="17">
        <f>C9^3 - C9^2*EXP(-0.5*C9) - 3*C9 + 1</f>
        <v>0</v>
      </c>
      <c r="E9" s="15">
        <f>3*C9^2 - (2*C9*EXP(-0.5*C9) - 0.5*C9^2*EXP(-0.5*C9)) - 3</f>
        <v>5.6964709330327352</v>
      </c>
      <c r="F9" s="15">
        <f>C9 - D9/E9</f>
        <v>1.7802405006633539</v>
      </c>
      <c r="G9" s="5">
        <f>ABS(F9-C9)</f>
        <v>0</v>
      </c>
      <c r="H9" s="6" t="str">
        <f>IF(OR(ABS(D9)&lt;=[1]CONFIG!$C$7,G9&lt;=[1]CONFIG!$C$7),"Si","No")</f>
        <v>Si</v>
      </c>
    </row>
  </sheetData>
  <mergeCells count="1">
    <mergeCell ref="B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6138-E04E-494B-856D-362B875018D6}">
  <dimension ref="B3:D13"/>
  <sheetViews>
    <sheetView workbookViewId="0">
      <selection activeCell="H10" sqref="H10"/>
    </sheetView>
  </sheetViews>
  <sheetFormatPr baseColWidth="10" defaultRowHeight="15" x14ac:dyDescent="0.25"/>
  <cols>
    <col min="2" max="2" width="16" customWidth="1"/>
    <col min="3" max="3" width="14.42578125" customWidth="1"/>
  </cols>
  <sheetData>
    <row r="3" spans="2:4" x14ac:dyDescent="0.25">
      <c r="B3" s="8" t="s">
        <v>26</v>
      </c>
      <c r="C3" s="8"/>
      <c r="D3" s="8"/>
    </row>
    <row r="4" spans="2:4" x14ac:dyDescent="0.25">
      <c r="B4" s="16" t="s">
        <v>27</v>
      </c>
      <c r="C4" s="16"/>
      <c r="D4" s="16"/>
    </row>
    <row r="5" spans="2:4" x14ac:dyDescent="0.25">
      <c r="B5" s="2"/>
      <c r="C5" s="2"/>
      <c r="D5" s="2"/>
    </row>
    <row r="6" spans="2:4" x14ac:dyDescent="0.25">
      <c r="B6" s="9" t="s">
        <v>11</v>
      </c>
      <c r="C6" s="4">
        <f>'[1]NEWTON=-1.0'!F8</f>
        <v>-1.2340932812452379</v>
      </c>
      <c r="D6" s="10">
        <f>'[1]NEWTON=-1.0'!G8</f>
        <v>7.4337242611299814E-5</v>
      </c>
    </row>
    <row r="7" spans="2:4" x14ac:dyDescent="0.25">
      <c r="B7" s="9" t="s">
        <v>12</v>
      </c>
      <c r="C7" s="4">
        <f>COUNTIF('[1]NEWTON=-1.0'!H4:H23,"→")+1</f>
        <v>5</v>
      </c>
      <c r="D7" s="4"/>
    </row>
    <row r="8" spans="2:4" x14ac:dyDescent="0.25">
      <c r="B8" s="2"/>
      <c r="C8" s="2"/>
      <c r="D8" s="2"/>
    </row>
    <row r="9" spans="2:4" x14ac:dyDescent="0.25">
      <c r="B9" s="3" t="s">
        <v>13</v>
      </c>
      <c r="C9" s="4">
        <f>'[1]NEWTON=0.5'!F8</f>
        <v>0.31546600078037806</v>
      </c>
      <c r="D9" s="5">
        <f>'[1]NEWTON=0.5'!G8</f>
        <v>1.0407841255499761E-11</v>
      </c>
    </row>
    <row r="10" spans="2:4" x14ac:dyDescent="0.25">
      <c r="B10" s="3" t="s">
        <v>12</v>
      </c>
      <c r="C10" s="6">
        <f>COUNTIF('[1]NEWTON=0.5'!H5:H23,"→")+1</f>
        <v>4</v>
      </c>
      <c r="D10" s="4"/>
    </row>
    <row r="11" spans="2:4" x14ac:dyDescent="0.25">
      <c r="B11" s="2"/>
      <c r="C11" s="2"/>
      <c r="D11" s="2"/>
    </row>
    <row r="12" spans="2:4" x14ac:dyDescent="0.25">
      <c r="B12" s="3" t="s">
        <v>14</v>
      </c>
      <c r="C12" s="4">
        <f>'[1]NEWTON=1.8'!F8</f>
        <v>1.7802405006633539</v>
      </c>
      <c r="D12" s="5">
        <f>'[1]NEWTON=1.8'!G8</f>
        <v>1.5987211554602254E-14</v>
      </c>
    </row>
    <row r="13" spans="2:4" x14ac:dyDescent="0.25">
      <c r="B13" s="3" t="s">
        <v>12</v>
      </c>
      <c r="C13" s="6">
        <f>COUNTIF('[1]NEWTON=1.8'!H5:H23,"→")+1</f>
        <v>3</v>
      </c>
      <c r="D13" s="4"/>
    </row>
  </sheetData>
  <mergeCells count="2">
    <mergeCell ref="B3:D3"/>
    <mergeCell ref="B4:D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AB2-6AAF-481B-B6CE-514666C8ADD1}">
  <dimension ref="B3:I14"/>
  <sheetViews>
    <sheetView workbookViewId="0">
      <selection activeCell="M15" sqref="M15"/>
    </sheetView>
  </sheetViews>
  <sheetFormatPr baseColWidth="10" defaultRowHeight="15" x14ac:dyDescent="0.25"/>
  <cols>
    <col min="2" max="2" width="16" customWidth="1"/>
    <col min="9" max="9" width="15.7109375" customWidth="1"/>
  </cols>
  <sheetData>
    <row r="3" spans="2:9" ht="17.25" customHeight="1" x14ac:dyDescent="0.25">
      <c r="B3" s="8" t="s">
        <v>16</v>
      </c>
      <c r="C3" s="8"/>
      <c r="D3" s="8"/>
      <c r="E3" s="8"/>
      <c r="F3" s="8"/>
      <c r="G3" s="8"/>
      <c r="H3" s="8"/>
      <c r="I3" s="8"/>
    </row>
    <row r="4" spans="2:9" ht="21" customHeight="1" x14ac:dyDescent="0.25">
      <c r="B4" s="3" t="s">
        <v>23</v>
      </c>
      <c r="C4" s="3" t="s">
        <v>32</v>
      </c>
      <c r="D4" s="3" t="s">
        <v>28</v>
      </c>
      <c r="E4" s="3" t="s">
        <v>33</v>
      </c>
      <c r="F4" s="3" t="s">
        <v>29</v>
      </c>
      <c r="G4" s="3" t="s">
        <v>31</v>
      </c>
      <c r="H4" s="3" t="s">
        <v>9</v>
      </c>
      <c r="I4" s="3" t="s">
        <v>24</v>
      </c>
    </row>
    <row r="5" spans="2:9" x14ac:dyDescent="0.25">
      <c r="B5" s="3">
        <v>1</v>
      </c>
      <c r="C5" s="15">
        <v>-1.5</v>
      </c>
      <c r="D5" s="15">
        <v>-0.5</v>
      </c>
      <c r="E5" s="15">
        <f>C5^3 - C5^2*EXP(-0.5*C5) - 3*C5 + 1</f>
        <v>-2.6382500373785192</v>
      </c>
      <c r="F5" s="15">
        <f>D5^3 - D5^2*EXP(-0.5*D5) - 3*D5 + 1</f>
        <v>2.0539936458280645</v>
      </c>
      <c r="G5" s="15">
        <f t="shared" ref="G5:G14" si="0">D5 - F5*(D5-C5)/(F5-E5)</f>
        <v>-0.93774232211750919</v>
      </c>
      <c r="H5" s="5">
        <f t="shared" ref="H5:H14" si="1">ABS(G5-D5)</f>
        <v>0.43774232211750919</v>
      </c>
      <c r="I5" s="6" t="str">
        <f>IF(OR(ABS(F5)&lt;[1]CONFIG!$C$7,H5&lt;[1]CONFIG!$C$7),"Si","No")</f>
        <v>No</v>
      </c>
    </row>
    <row r="6" spans="2:9" x14ac:dyDescent="0.25">
      <c r="B6" s="3">
        <f t="shared" ref="B6:B14" si="2">B5+1</f>
        <v>2</v>
      </c>
      <c r="C6" s="15">
        <f t="shared" ref="C6:C14" si="3">D5</f>
        <v>-0.5</v>
      </c>
      <c r="D6" s="15">
        <f t="shared" ref="D6:D14" si="4">G5</f>
        <v>-0.93774232211750919</v>
      </c>
      <c r="E6" s="15">
        <f t="shared" ref="E6:E14" si="5">F5</f>
        <v>2.0539936458280645</v>
      </c>
      <c r="F6" s="15">
        <f t="shared" ref="F6:F14" si="6">D6^3 - D6^2*EXP(-0.5*D6) - 3*D6 + 1</f>
        <v>1.5832286511261215</v>
      </c>
      <c r="G6" s="15">
        <f t="shared" si="0"/>
        <v>-2.4099125004157296</v>
      </c>
      <c r="H6" s="5">
        <f t="shared" si="1"/>
        <v>1.4721701782982204</v>
      </c>
      <c r="I6" s="6" t="str">
        <f>IF(OR(ABS(F6)&lt;[1]CONFIG!$C$7,H6&lt;[1]CONFIG!$C$7),"Si","No")</f>
        <v>No</v>
      </c>
    </row>
    <row r="7" spans="2:9" x14ac:dyDescent="0.25">
      <c r="B7" s="3">
        <f t="shared" si="2"/>
        <v>3</v>
      </c>
      <c r="C7" s="15">
        <f t="shared" si="3"/>
        <v>-0.93774232211750919</v>
      </c>
      <c r="D7" s="15">
        <f t="shared" si="4"/>
        <v>-2.4099125004157296</v>
      </c>
      <c r="E7" s="15">
        <f t="shared" si="5"/>
        <v>1.5832286511261215</v>
      </c>
      <c r="F7" s="15">
        <f t="shared" si="6"/>
        <v>-25.144234289576172</v>
      </c>
      <c r="G7" s="15">
        <f t="shared" si="0"/>
        <v>-1.0249478309526079</v>
      </c>
      <c r="H7" s="5">
        <f t="shared" si="1"/>
        <v>1.3849646694631217</v>
      </c>
      <c r="I7" s="6" t="str">
        <f>IF(OR(ABS(F7)&lt;[1]CONFIG!$C$7,H7&lt;[1]CONFIG!$C$7),"Si","No")</f>
        <v>No</v>
      </c>
    </row>
    <row r="8" spans="2:9" x14ac:dyDescent="0.25">
      <c r="B8" s="3">
        <f t="shared" si="2"/>
        <v>4</v>
      </c>
      <c r="C8" s="15">
        <f t="shared" si="3"/>
        <v>-2.4099125004157296</v>
      </c>
      <c r="D8" s="15">
        <f t="shared" si="4"/>
        <v>-1.0249478309526079</v>
      </c>
      <c r="E8" s="15">
        <f t="shared" si="5"/>
        <v>-25.144234289576172</v>
      </c>
      <c r="F8" s="15">
        <f t="shared" si="6"/>
        <v>1.2443655494376991</v>
      </c>
      <c r="G8" s="15">
        <f t="shared" si="0"/>
        <v>-1.0902564237685231</v>
      </c>
      <c r="H8" s="5">
        <f t="shared" si="1"/>
        <v>6.5308592815915167E-2</v>
      </c>
      <c r="I8" s="6" t="str">
        <f>IF(OR(ABS(F8)&lt;[1]CONFIG!$C$7,H8&lt;[1]CONFIG!$C$7),"Si","No")</f>
        <v>No</v>
      </c>
    </row>
    <row r="9" spans="2:9" x14ac:dyDescent="0.25">
      <c r="B9" s="3">
        <f t="shared" si="2"/>
        <v>5</v>
      </c>
      <c r="C9" s="15">
        <f t="shared" si="3"/>
        <v>-1.0249478309526079</v>
      </c>
      <c r="D9" s="15">
        <f t="shared" si="4"/>
        <v>-1.0902564237685231</v>
      </c>
      <c r="E9" s="15">
        <f t="shared" si="5"/>
        <v>1.2443655494376991</v>
      </c>
      <c r="F9" s="15">
        <f t="shared" si="6"/>
        <v>0.92459184232711822</v>
      </c>
      <c r="G9" s="15">
        <f t="shared" si="0"/>
        <v>-1.2790893103028036</v>
      </c>
      <c r="H9" s="5">
        <f t="shared" si="1"/>
        <v>0.18883288653428054</v>
      </c>
      <c r="I9" s="6" t="str">
        <f>IF(OR(ABS(F9)&lt;[1]CONFIG!$C$7,H9&lt;[1]CONFIG!$C$7),"Si","No")</f>
        <v>No</v>
      </c>
    </row>
    <row r="10" spans="2:9" x14ac:dyDescent="0.25">
      <c r="B10" s="3">
        <f t="shared" si="2"/>
        <v>6</v>
      </c>
      <c r="C10" s="15">
        <f t="shared" si="3"/>
        <v>-1.0902564237685231</v>
      </c>
      <c r="D10" s="15">
        <f t="shared" si="4"/>
        <v>-1.2790893103028036</v>
      </c>
      <c r="E10" s="15">
        <f t="shared" si="5"/>
        <v>0.92459184232711822</v>
      </c>
      <c r="F10" s="15">
        <f t="shared" si="6"/>
        <v>-0.35677297549261056</v>
      </c>
      <c r="G10" s="15">
        <f t="shared" si="0"/>
        <v>-1.2265121910758794</v>
      </c>
      <c r="H10" s="5">
        <f t="shared" si="1"/>
        <v>5.2577119226924207E-2</v>
      </c>
      <c r="I10" s="6" t="str">
        <f>IF(OR(ABS(F10)&lt;[1]CONFIG!$C$7,H10&lt;[1]CONFIG!$C$7),"Si","No")</f>
        <v>No</v>
      </c>
    </row>
    <row r="11" spans="2:9" x14ac:dyDescent="0.25">
      <c r="B11" s="3">
        <f t="shared" si="2"/>
        <v>7</v>
      </c>
      <c r="C11" s="15">
        <f t="shared" si="3"/>
        <v>-1.2790893103028036</v>
      </c>
      <c r="D11" s="15">
        <f t="shared" si="4"/>
        <v>-1.2265121910758794</v>
      </c>
      <c r="E11" s="15">
        <f t="shared" si="5"/>
        <v>-0.35677297549261056</v>
      </c>
      <c r="F11" s="15">
        <f t="shared" si="6"/>
        <v>5.6805129595279169E-2</v>
      </c>
      <c r="G11" s="15">
        <f t="shared" si="0"/>
        <v>-1.233733680885639</v>
      </c>
      <c r="H11" s="5">
        <f t="shared" si="1"/>
        <v>7.2214898097595626E-3</v>
      </c>
      <c r="I11" s="6" t="str">
        <f>IF(OR(ABS(F11)&lt;[1]CONFIG!$C$7,H11&lt;[1]CONFIG!$C$7),"Si","No")</f>
        <v>No</v>
      </c>
    </row>
    <row r="12" spans="2:9" x14ac:dyDescent="0.25">
      <c r="B12" s="3">
        <f t="shared" si="2"/>
        <v>8</v>
      </c>
      <c r="C12" s="15">
        <f t="shared" si="3"/>
        <v>-1.2265121910758794</v>
      </c>
      <c r="D12" s="15">
        <f t="shared" si="4"/>
        <v>-1.233733680885639</v>
      </c>
      <c r="E12" s="15">
        <f t="shared" si="5"/>
        <v>5.6805129595279169E-2</v>
      </c>
      <c r="F12" s="15">
        <f t="shared" si="6"/>
        <v>2.7156741815974605E-3</v>
      </c>
      <c r="G12" s="15">
        <f t="shared" si="0"/>
        <v>-1.2340962508778683</v>
      </c>
      <c r="H12" s="5">
        <f t="shared" si="1"/>
        <v>3.6256999222938902E-4</v>
      </c>
      <c r="I12" s="6" t="str">
        <f>IF(OR(ABS(F12)&lt;[1]CONFIG!$C$7,H12&lt;[1]CONFIG!$C$7),"Si","No")</f>
        <v>No</v>
      </c>
    </row>
    <row r="13" spans="2:9" x14ac:dyDescent="0.25">
      <c r="B13" s="3">
        <f t="shared" si="2"/>
        <v>9</v>
      </c>
      <c r="C13" s="15">
        <f t="shared" si="3"/>
        <v>-1.233733680885639</v>
      </c>
      <c r="D13" s="15">
        <f t="shared" si="4"/>
        <v>-1.2340962508778683</v>
      </c>
      <c r="E13" s="15">
        <f t="shared" si="5"/>
        <v>2.7156741815974605E-3</v>
      </c>
      <c r="F13" s="15">
        <f t="shared" si="6"/>
        <v>-2.2480927009294049E-5</v>
      </c>
      <c r="G13" s="15">
        <f t="shared" si="0"/>
        <v>-1.2340932740890425</v>
      </c>
      <c r="H13" s="5">
        <f t="shared" si="1"/>
        <v>2.9767888258813713E-6</v>
      </c>
      <c r="I13" s="6" t="str">
        <f>IF(OR(ABS(F13)&lt;[1]CONFIG!$C$7,H13&lt;[1]CONFIG!$C$7),"Si","No")</f>
        <v>No</v>
      </c>
    </row>
    <row r="14" spans="2:9" x14ac:dyDescent="0.25">
      <c r="B14" s="3">
        <f t="shared" si="2"/>
        <v>10</v>
      </c>
      <c r="C14" s="15">
        <f t="shared" si="3"/>
        <v>-1.2340962508778683</v>
      </c>
      <c r="D14" s="15">
        <f t="shared" si="4"/>
        <v>-1.2340932740890425</v>
      </c>
      <c r="E14" s="15">
        <f t="shared" si="5"/>
        <v>-2.2480927009294049E-5</v>
      </c>
      <c r="F14" s="15">
        <f t="shared" si="6"/>
        <v>8.7721829800102569E-9</v>
      </c>
      <c r="G14" s="15">
        <f t="shared" si="0"/>
        <v>-1.234093275250149</v>
      </c>
      <c r="H14" s="5">
        <f t="shared" si="1"/>
        <v>1.1611065442451718E-9</v>
      </c>
      <c r="I14" s="6" t="str">
        <f>IF(OR(ABS(F14)&lt;[1]CONFIG!$C$7,H14&lt;[1]CONFIG!$C$7),"Si","No")</f>
        <v>Si</v>
      </c>
    </row>
  </sheetData>
  <mergeCells count="1">
    <mergeCell ref="B3:I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08DD6-3EB7-47ED-BCC8-86A090F1A461}">
  <dimension ref="B3:I9"/>
  <sheetViews>
    <sheetView workbookViewId="0">
      <selection activeCell="K7" sqref="K7"/>
    </sheetView>
  </sheetViews>
  <sheetFormatPr baseColWidth="10" defaultRowHeight="15" x14ac:dyDescent="0.25"/>
  <cols>
    <col min="2" max="2" width="14.85546875" customWidth="1"/>
    <col min="9" max="9" width="16.140625" customWidth="1"/>
  </cols>
  <sheetData>
    <row r="3" spans="2:9" ht="18" customHeight="1" x14ac:dyDescent="0.25">
      <c r="B3" s="8" t="s">
        <v>16</v>
      </c>
      <c r="C3" s="8"/>
      <c r="D3" s="8"/>
      <c r="E3" s="8"/>
      <c r="F3" s="8"/>
      <c r="G3" s="8"/>
      <c r="H3" s="8"/>
      <c r="I3" s="8"/>
    </row>
    <row r="4" spans="2:9" ht="18.75" customHeight="1" x14ac:dyDescent="0.25">
      <c r="B4" s="3" t="s">
        <v>23</v>
      </c>
      <c r="C4" s="3" t="s">
        <v>32</v>
      </c>
      <c r="D4" s="3" t="s">
        <v>28</v>
      </c>
      <c r="E4" s="3" t="s">
        <v>33</v>
      </c>
      <c r="F4" s="3" t="s">
        <v>29</v>
      </c>
      <c r="G4" s="3" t="s">
        <v>31</v>
      </c>
      <c r="H4" s="3" t="s">
        <v>9</v>
      </c>
      <c r="I4" s="3" t="s">
        <v>24</v>
      </c>
    </row>
    <row r="5" spans="2:9" x14ac:dyDescent="0.25">
      <c r="B5" s="3">
        <v>1</v>
      </c>
      <c r="C5" s="15">
        <v>0</v>
      </c>
      <c r="D5" s="15">
        <v>1</v>
      </c>
      <c r="E5" s="15">
        <f>C5^3 - C5^2*EXP(-0.5*C5) - 3*C5 + 1</f>
        <v>1</v>
      </c>
      <c r="F5" s="15">
        <f>D5^3 - D5^2*EXP(-0.5*D5) - 3*D5 + 1</f>
        <v>-1.6065306597126332</v>
      </c>
      <c r="G5" s="15">
        <f>D5 - F5*(D5-C5)/(F5-E5)</f>
        <v>0.38365173119055074</v>
      </c>
      <c r="H5" s="5">
        <f>ABS(G5-D5)</f>
        <v>0.61634826880944926</v>
      </c>
      <c r="I5" s="6" t="str">
        <f>IF(OR(ABS(F5)&lt;[1]CONFIG!$C$7,H5&lt;[1]CONFIG!$C$7),"Si","No")</f>
        <v>No</v>
      </c>
    </row>
    <row r="6" spans="2:9" x14ac:dyDescent="0.25">
      <c r="B6" s="3">
        <f>B5+1</f>
        <v>2</v>
      </c>
      <c r="C6" s="15">
        <f>D5</f>
        <v>1</v>
      </c>
      <c r="D6" s="15">
        <f>G5</f>
        <v>0.38365173119055074</v>
      </c>
      <c r="E6" s="15">
        <f>F5</f>
        <v>-1.6065306597126332</v>
      </c>
      <c r="F6" s="15">
        <f>D6^3 - D6^2*EXP(-0.5*D6) - 3*D6 + 1</f>
        <v>-0.21598297232874852</v>
      </c>
      <c r="G6" s="15">
        <f>D6 - F6*(D6-C6)/(F6-E6)</f>
        <v>0.28791914158221388</v>
      </c>
      <c r="H6" s="5">
        <f>ABS(G6-D6)</f>
        <v>9.573258960833686E-2</v>
      </c>
      <c r="I6" s="6" t="str">
        <f>IF(OR(ABS(F6)&lt;[1]CONFIG!$C$7,H6&lt;[1]CONFIG!$C$7),"Si","No")</f>
        <v>No</v>
      </c>
    </row>
    <row r="7" spans="2:9" x14ac:dyDescent="0.25">
      <c r="B7" s="3">
        <f>B6+1</f>
        <v>3</v>
      </c>
      <c r="C7" s="15">
        <f>D6</f>
        <v>0.38365173119055074</v>
      </c>
      <c r="D7" s="15">
        <f>G6</f>
        <v>0.28791914158221388</v>
      </c>
      <c r="E7" s="15">
        <f>F6</f>
        <v>-0.21598297232874852</v>
      </c>
      <c r="F7" s="15">
        <f>D7^3 - D7^2*EXP(-0.5*D7) - 3*D7 + 1</f>
        <v>8.8327559886050122E-2</v>
      </c>
      <c r="G7" s="15">
        <f>D7 - F7*(D7-C7)/(F7-E7)</f>
        <v>0.31570597492030045</v>
      </c>
      <c r="H7" s="5">
        <f>ABS(G7-D7)</f>
        <v>2.778683333808657E-2</v>
      </c>
      <c r="I7" s="6" t="str">
        <f>IF(OR(ABS(F7)&lt;[1]CONFIG!$C$7,H7&lt;[1]CONFIG!$C$7),"Si","No")</f>
        <v>No</v>
      </c>
    </row>
    <row r="8" spans="2:9" x14ac:dyDescent="0.25">
      <c r="B8" s="3">
        <f>B7+1</f>
        <v>4</v>
      </c>
      <c r="C8" s="15">
        <f>D7</f>
        <v>0.28791914158221388</v>
      </c>
      <c r="D8" s="15">
        <f>G7</f>
        <v>0.31570597492030045</v>
      </c>
      <c r="E8" s="15">
        <f>F7</f>
        <v>8.8327559886050122E-2</v>
      </c>
      <c r="F8" s="15">
        <f>D8^3 - D8^2*EXP(-0.5*D8) - 3*D8 + 1</f>
        <v>-7.6737151754913135E-4</v>
      </c>
      <c r="G8" s="15">
        <f>D8 - F8*(D8-C8)/(F8-E8)</f>
        <v>0.3154666478998896</v>
      </c>
      <c r="H8" s="5">
        <f>ABS(G8-D8)</f>
        <v>2.3932702041085108E-4</v>
      </c>
      <c r="I8" s="6" t="str">
        <f>IF(OR(ABS(F8)&lt;[1]CONFIG!$C$7,H8&lt;[1]CONFIG!$C$7),"Si","No")</f>
        <v>No</v>
      </c>
    </row>
    <row r="9" spans="2:9" x14ac:dyDescent="0.25">
      <c r="B9" s="3">
        <f>B8+1</f>
        <v>5</v>
      </c>
      <c r="C9" s="15">
        <f>D8</f>
        <v>0.31570597492030045</v>
      </c>
      <c r="D9" s="15">
        <f>G8</f>
        <v>0.3154666478998896</v>
      </c>
      <c r="E9" s="15">
        <f>F8</f>
        <v>-7.6737151754913135E-4</v>
      </c>
      <c r="F9" s="15">
        <f>D9^3 - D9^2*EXP(-0.5*D9) - 3*D9 + 1</f>
        <v>-2.0693652400538554E-6</v>
      </c>
      <c r="G9" s="15">
        <f>D9 - F9*(D9-C9)/(F9-E9)</f>
        <v>0.31546600076331022</v>
      </c>
      <c r="H9" s="5">
        <f>ABS(G9-D9)</f>
        <v>6.4713657937920388E-7</v>
      </c>
      <c r="I9" s="6" t="str">
        <f>IF(OR(ABS(F9)&lt;[1]CONFIG!$C$7,H9&lt;[1]CONFIG!$C$7),"Si","No")</f>
        <v>Si</v>
      </c>
    </row>
  </sheetData>
  <mergeCells count="1">
    <mergeCell ref="B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521D6-696B-4AD6-A835-C21ECF93F80C}">
  <dimension ref="B3:I10"/>
  <sheetViews>
    <sheetView workbookViewId="0">
      <selection activeCell="L10" sqref="L10"/>
    </sheetView>
  </sheetViews>
  <sheetFormatPr baseColWidth="10" defaultRowHeight="15" x14ac:dyDescent="0.25"/>
  <cols>
    <col min="2" max="2" width="15.140625" customWidth="1"/>
    <col min="9" max="9" width="16.140625" customWidth="1"/>
  </cols>
  <sheetData>
    <row r="3" spans="2:9" ht="21" customHeight="1" x14ac:dyDescent="0.25">
      <c r="B3" s="8" t="s">
        <v>16</v>
      </c>
      <c r="C3" s="8"/>
      <c r="D3" s="8"/>
      <c r="E3" s="8"/>
      <c r="F3" s="8"/>
      <c r="G3" s="8"/>
      <c r="H3" s="8"/>
      <c r="I3" s="8"/>
    </row>
    <row r="4" spans="2:9" ht="21.75" customHeight="1" x14ac:dyDescent="0.25">
      <c r="B4" s="3" t="s">
        <v>23</v>
      </c>
      <c r="C4" s="3" t="s">
        <v>32</v>
      </c>
      <c r="D4" s="3" t="s">
        <v>28</v>
      </c>
      <c r="E4" s="3" t="s">
        <v>33</v>
      </c>
      <c r="F4" s="3" t="s">
        <v>29</v>
      </c>
      <c r="G4" s="3" t="s">
        <v>31</v>
      </c>
      <c r="H4" s="3" t="s">
        <v>9</v>
      </c>
      <c r="I4" s="3" t="s">
        <v>24</v>
      </c>
    </row>
    <row r="5" spans="2:9" x14ac:dyDescent="0.25">
      <c r="B5" s="3">
        <v>1</v>
      </c>
      <c r="C5" s="15">
        <v>1.5</v>
      </c>
      <c r="D5" s="15">
        <v>2</v>
      </c>
      <c r="E5" s="15">
        <f>C5^3 - C5^2*EXP(-0.5*C5) - 3*C5 + 1</f>
        <v>-1.1878247436672833</v>
      </c>
      <c r="F5" s="15">
        <f>D5^3 - D5^2*EXP(-0.5*D5) - 3*D5 + 1</f>
        <v>1.5284822353142307</v>
      </c>
      <c r="G5" s="15">
        <f t="shared" ref="G5:G10" si="0">D5 - F5*(D5-C5)/(F5-E5)</f>
        <v>1.7186469999264702</v>
      </c>
      <c r="H5" s="5">
        <f t="shared" ref="H5:H10" si="1">ABS(G5-D5)</f>
        <v>0.28135300007352981</v>
      </c>
      <c r="I5" s="6" t="str">
        <f>IF(OR(ABS(F5)&lt;[1]CONFIG!$C$7,H5&lt;[1]CONFIG!$C$7),"Si","No")</f>
        <v>No</v>
      </c>
    </row>
    <row r="6" spans="2:9" x14ac:dyDescent="0.25">
      <c r="B6" s="3">
        <f>B5+1</f>
        <v>2</v>
      </c>
      <c r="C6" s="15">
        <f>D5</f>
        <v>2</v>
      </c>
      <c r="D6" s="15">
        <f>G5</f>
        <v>1.7186469999264702</v>
      </c>
      <c r="E6" s="15">
        <f>F5</f>
        <v>1.5284822353142307</v>
      </c>
      <c r="F6" s="15">
        <f>D6^3 - D6^2*EXP(-0.5*D6) - 3*D6 + 1</f>
        <v>-0.33025150259725455</v>
      </c>
      <c r="G6" s="15">
        <f t="shared" si="0"/>
        <v>1.7686365434201674</v>
      </c>
      <c r="H6" s="5">
        <f t="shared" si="1"/>
        <v>4.9989543493697219E-2</v>
      </c>
      <c r="I6" s="6" t="str">
        <f>IF(OR(ABS(F6)&lt;[1]CONFIG!$C$7,H6&lt;[1]CONFIG!$C$7),"Si","No")</f>
        <v>No</v>
      </c>
    </row>
    <row r="7" spans="2:9" x14ac:dyDescent="0.25">
      <c r="B7" s="3">
        <f>B6+1</f>
        <v>3</v>
      </c>
      <c r="C7" s="15">
        <f>D6</f>
        <v>1.7186469999264702</v>
      </c>
      <c r="D7" s="15">
        <f>G6</f>
        <v>1.7686365434201674</v>
      </c>
      <c r="E7" s="15">
        <f>F6</f>
        <v>-0.33025150259725455</v>
      </c>
      <c r="F7" s="15">
        <f>D7^3 - D7^2*EXP(-0.5*D7) - 3*D7 + 1</f>
        <v>-6.5362872245422032E-2</v>
      </c>
      <c r="G7" s="15">
        <f t="shared" si="0"/>
        <v>1.7809717657384887</v>
      </c>
      <c r="H7" s="5">
        <f t="shared" si="1"/>
        <v>1.2335222318321293E-2</v>
      </c>
      <c r="I7" s="6" t="str">
        <f>IF(OR(ABS(F7)&lt;[1]CONFIG!$C$7,H7&lt;[1]CONFIG!$C$7),"Si","No")</f>
        <v>No</v>
      </c>
    </row>
    <row r="8" spans="2:9" x14ac:dyDescent="0.25">
      <c r="B8" s="3">
        <f>B7+1</f>
        <v>4</v>
      </c>
      <c r="C8" s="15">
        <f>D7</f>
        <v>1.7686365434201674</v>
      </c>
      <c r="D8" s="15">
        <f>G7</f>
        <v>1.7809717657384887</v>
      </c>
      <c r="E8" s="15">
        <f>F7</f>
        <v>-6.5362872245422032E-2</v>
      </c>
      <c r="F8" s="15">
        <f>D8^3 - D8^2*EXP(-0.5*D8) - 3*D8 + 1</f>
        <v>4.1685709323697751E-3</v>
      </c>
      <c r="G8" s="15">
        <f t="shared" si="0"/>
        <v>1.7802322406135895</v>
      </c>
      <c r="H8" s="5">
        <f t="shared" si="1"/>
        <v>7.3952512489916522E-4</v>
      </c>
      <c r="I8" s="6" t="str">
        <f>IF(OR(ABS(F8)&lt;[1]CONFIG!$C$7,H8&lt;[1]CONFIG!$C$7),"Si","No")</f>
        <v>No</v>
      </c>
    </row>
    <row r="9" spans="2:9" x14ac:dyDescent="0.25">
      <c r="B9" s="3">
        <f>B8+1</f>
        <v>5</v>
      </c>
      <c r="C9" s="15">
        <f>D8</f>
        <v>1.7809717657384887</v>
      </c>
      <c r="D9" s="15">
        <f>G8</f>
        <v>1.7802322406135895</v>
      </c>
      <c r="E9" s="15">
        <f>F8</f>
        <v>4.1685709323697751E-3</v>
      </c>
      <c r="F9" s="15">
        <f>D9^3 - D9^2*EXP(-0.5*D9) - 3*D9 + 1</f>
        <v>-4.7052758239907178E-5</v>
      </c>
      <c r="G9" s="15">
        <f t="shared" si="0"/>
        <v>1.7802404948363257</v>
      </c>
      <c r="H9" s="5">
        <f t="shared" si="1"/>
        <v>8.2542227362036868E-6</v>
      </c>
      <c r="I9" s="6" t="str">
        <f>IF(OR(ABS(F9)&lt;[1]CONFIG!$C$7,H9&lt;[1]CONFIG!$C$7),"Si","No")</f>
        <v>No</v>
      </c>
    </row>
    <row r="10" spans="2:9" x14ac:dyDescent="0.25">
      <c r="B10" s="3">
        <f>B9+1</f>
        <v>6</v>
      </c>
      <c r="C10" s="15">
        <f>D9</f>
        <v>1.7802322406135895</v>
      </c>
      <c r="D10" s="15">
        <f>G9</f>
        <v>1.7802404948363257</v>
      </c>
      <c r="E10" s="15">
        <f>F9</f>
        <v>-4.7052758239907178E-5</v>
      </c>
      <c r="F10" s="15">
        <f>D10^3 - D10^2*EXP(-0.5*D10) - 3*D10 + 1</f>
        <v>-3.3193495951877594E-8</v>
      </c>
      <c r="G10" s="15">
        <f t="shared" si="0"/>
        <v>1.7802405006634003</v>
      </c>
      <c r="H10" s="5">
        <f t="shared" si="1"/>
        <v>5.8270746006172658E-9</v>
      </c>
      <c r="I10" s="6" t="str">
        <f>IF(OR(ABS(F10)&lt;[1]CONFIG!$C$7,H10&lt;[1]CONFIG!$C$7),"Si","No")</f>
        <v>Si</v>
      </c>
    </row>
  </sheetData>
  <mergeCells count="1">
    <mergeCell ref="B3:I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BC744-4937-473F-96D7-909A991942B1}">
  <dimension ref="B3:D13"/>
  <sheetViews>
    <sheetView workbookViewId="0">
      <selection activeCell="H11" sqref="H11:H12"/>
    </sheetView>
  </sheetViews>
  <sheetFormatPr baseColWidth="10" defaultRowHeight="15" x14ac:dyDescent="0.25"/>
  <cols>
    <col min="2" max="2" width="15.28515625" customWidth="1"/>
    <col min="3" max="3" width="15.42578125" customWidth="1"/>
  </cols>
  <sheetData>
    <row r="3" spans="2:4" ht="18.75" customHeight="1" x14ac:dyDescent="0.25">
      <c r="B3" s="8" t="s">
        <v>34</v>
      </c>
      <c r="C3" s="8"/>
      <c r="D3" s="8"/>
    </row>
    <row r="4" spans="2:4" ht="19.5" customHeight="1" x14ac:dyDescent="0.25">
      <c r="B4" s="8" t="s">
        <v>16</v>
      </c>
      <c r="C4" s="8"/>
      <c r="D4" s="8"/>
    </row>
    <row r="5" spans="2:4" x14ac:dyDescent="0.25">
      <c r="B5" s="2"/>
      <c r="C5" s="2"/>
      <c r="D5" s="2"/>
    </row>
    <row r="6" spans="2:4" x14ac:dyDescent="0.25">
      <c r="B6" s="9" t="s">
        <v>11</v>
      </c>
      <c r="C6" s="4">
        <f>'[1]SEC=-1.5,-0.5'!D14</f>
        <v>-1.2340932740890425</v>
      </c>
      <c r="D6" s="10">
        <f>'[1]SEC=-1.5,-0.5'!H14</f>
        <v>1.1611065442451718E-9</v>
      </c>
    </row>
    <row r="7" spans="2:4" x14ac:dyDescent="0.25">
      <c r="B7" s="9" t="s">
        <v>12</v>
      </c>
      <c r="C7" s="4">
        <f>COUNTIF('[1]SEC=-1.5,-0.5'!I5:I22,"→")+1</f>
        <v>10</v>
      </c>
      <c r="D7" s="4"/>
    </row>
    <row r="8" spans="2:4" x14ac:dyDescent="0.25">
      <c r="B8" s="2"/>
      <c r="C8" s="2"/>
      <c r="D8" s="2"/>
    </row>
    <row r="9" spans="2:4" x14ac:dyDescent="0.25">
      <c r="B9" s="3" t="s">
        <v>13</v>
      </c>
      <c r="C9" s="4">
        <f>'[1]SEC=1,0'!D8</f>
        <v>0.31570597492030045</v>
      </c>
      <c r="D9" s="5">
        <f>'[1]SEC=1,0'!H8</f>
        <v>2.3932702041085108E-4</v>
      </c>
    </row>
    <row r="10" spans="2:4" x14ac:dyDescent="0.25">
      <c r="B10" s="3" t="s">
        <v>12</v>
      </c>
      <c r="C10" s="6">
        <f>COUNTIF('[1]SEC=1,0'!I5:I15,"→")+1</f>
        <v>5</v>
      </c>
      <c r="D10" s="4"/>
    </row>
    <row r="11" spans="2:4" x14ac:dyDescent="0.25">
      <c r="B11" s="2"/>
      <c r="C11" s="2"/>
      <c r="D11" s="2"/>
    </row>
    <row r="12" spans="2:4" x14ac:dyDescent="0.25">
      <c r="B12" s="3" t="s">
        <v>13</v>
      </c>
      <c r="C12" s="4">
        <f>'[1]SEC=1.5,2.0'!D10</f>
        <v>1.7802404948363257</v>
      </c>
      <c r="D12" s="5">
        <f>'[1]SEC=1.5,2.0'!H10</f>
        <v>5.8270746006172658E-9</v>
      </c>
    </row>
    <row r="13" spans="2:4" x14ac:dyDescent="0.25">
      <c r="B13" s="3" t="s">
        <v>12</v>
      </c>
      <c r="C13" s="6">
        <f>COUNTIF('[1]SEC=1.5,2.0'!I5:I20,"→")+1</f>
        <v>6</v>
      </c>
      <c r="D13" s="4"/>
    </row>
  </sheetData>
  <mergeCells count="2">
    <mergeCell ref="B3:D3"/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Resumen</vt:lpstr>
      <vt:lpstr>Bisección</vt:lpstr>
      <vt:lpstr>Bisección 2</vt:lpstr>
      <vt:lpstr>Biseccion 3</vt:lpstr>
      <vt:lpstr>Soluciones Bisección</vt:lpstr>
      <vt:lpstr>Newton 1</vt:lpstr>
      <vt:lpstr>Newton 0.5</vt:lpstr>
      <vt:lpstr>Newton 1.8</vt:lpstr>
      <vt:lpstr>Soluciones Newton</vt:lpstr>
      <vt:lpstr>Secante 1</vt:lpstr>
      <vt:lpstr>Secante 2</vt:lpstr>
      <vt:lpstr>Secante 3</vt:lpstr>
      <vt:lpstr>Soluciones Secante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Espinoza</dc:creator>
  <cp:lastModifiedBy>Maximiliano Espinoza</cp:lastModifiedBy>
  <dcterms:created xsi:type="dcterms:W3CDTF">2025-12-01T03:17:06Z</dcterms:created>
  <dcterms:modified xsi:type="dcterms:W3CDTF">2025-12-01T03:32:32Z</dcterms:modified>
</cp:coreProperties>
</file>
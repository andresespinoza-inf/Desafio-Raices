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B85A41FBAAF1C/Documentos/metodos numericos/ejercicios raices/"/>
    </mc:Choice>
  </mc:AlternateContent>
  <xr:revisionPtr revIDLastSave="0" documentId="8_{60E66FAF-54F5-4DC8-A2B4-A8ACE90EEE61}" xr6:coauthVersionLast="47" xr6:coauthVersionMax="47" xr10:uidLastSave="{00000000-0000-0000-0000-000000000000}"/>
  <bookViews>
    <workbookView xWindow="-120" yWindow="-120" windowWidth="29040" windowHeight="15720" xr2:uid="{0FA80923-FBA0-4B1F-8C56-BB48E998C958}"/>
  </bookViews>
  <sheets>
    <sheet name="Resumen" sheetId="1" r:id="rId1"/>
    <sheet name="Bisección" sheetId="2" r:id="rId2"/>
    <sheet name="Soluciones Bisección" sheetId="3" r:id="rId3"/>
    <sheet name="Newton" sheetId="4" r:id="rId4"/>
    <sheet name="Soluciones Newton" sheetId="5" r:id="rId5"/>
    <sheet name="Secante" sheetId="6" r:id="rId6"/>
    <sheet name="Soluciones secante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7" l="1"/>
  <c r="D6" i="7"/>
  <c r="C6" i="7"/>
  <c r="I5" i="6"/>
  <c r="B7" i="6"/>
  <c r="B8" i="6" s="1"/>
  <c r="B9" i="6" s="1"/>
  <c r="C6" i="6"/>
  <c r="B6" i="6"/>
  <c r="F5" i="6"/>
  <c r="E6" i="6" s="1"/>
  <c r="E5" i="6"/>
  <c r="C7" i="5"/>
  <c r="D6" i="5"/>
  <c r="C6" i="5"/>
  <c r="H6" i="4"/>
  <c r="H7" i="4"/>
  <c r="H8" i="4"/>
  <c r="H5" i="4"/>
  <c r="B6" i="4"/>
  <c r="B7" i="4" s="1"/>
  <c r="B8" i="4" s="1"/>
  <c r="F5" i="4"/>
  <c r="C6" i="4" s="1"/>
  <c r="E5" i="4"/>
  <c r="D5" i="4"/>
  <c r="C7" i="3"/>
  <c r="D6" i="3"/>
  <c r="C6" i="3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7" i="2"/>
  <c r="B6" i="2"/>
  <c r="H5" i="2"/>
  <c r="F5" i="2"/>
  <c r="E5" i="2"/>
  <c r="G5" i="2" s="1"/>
  <c r="G5" i="6" l="1"/>
  <c r="E6" i="4"/>
  <c r="D6" i="4"/>
  <c r="F6" i="4" s="1"/>
  <c r="G5" i="4"/>
  <c r="C6" i="2"/>
  <c r="D6" i="2"/>
  <c r="D6" i="6" l="1"/>
  <c r="H5" i="6"/>
  <c r="C7" i="4"/>
  <c r="G6" i="4"/>
  <c r="H6" i="2"/>
  <c r="E6" i="2"/>
  <c r="G6" i="2" s="1"/>
  <c r="F6" i="2"/>
  <c r="C7" i="6" l="1"/>
  <c r="F6" i="6"/>
  <c r="E7" i="6" s="1"/>
  <c r="D7" i="4"/>
  <c r="F7" i="4" s="1"/>
  <c r="E7" i="4"/>
  <c r="D7" i="2"/>
  <c r="C7" i="2"/>
  <c r="G6" i="6" l="1"/>
  <c r="C8" i="4"/>
  <c r="G7" i="4"/>
  <c r="F7" i="2"/>
  <c r="E7" i="2"/>
  <c r="G7" i="2" s="1"/>
  <c r="H7" i="2"/>
  <c r="H6" i="6" l="1"/>
  <c r="I6" i="6" s="1"/>
  <c r="D7" i="6"/>
  <c r="E8" i="4"/>
  <c r="D8" i="4"/>
  <c r="F8" i="4" s="1"/>
  <c r="D8" i="2"/>
  <c r="C8" i="2"/>
  <c r="C8" i="6" l="1"/>
  <c r="F7" i="6"/>
  <c r="E8" i="6" s="1"/>
  <c r="G8" i="4"/>
  <c r="F8" i="2"/>
  <c r="E8" i="2"/>
  <c r="G8" i="2" s="1"/>
  <c r="H8" i="2"/>
  <c r="G7" i="6" l="1"/>
  <c r="C9" i="2"/>
  <c r="D9" i="2"/>
  <c r="H9" i="2" s="1"/>
  <c r="C19" i="1"/>
  <c r="D8" i="6" l="1"/>
  <c r="H7" i="6"/>
  <c r="I7" i="6" s="1"/>
  <c r="E9" i="2"/>
  <c r="G9" i="2" s="1"/>
  <c r="F9" i="2"/>
  <c r="C9" i="6" l="1"/>
  <c r="F8" i="6"/>
  <c r="E9" i="6" s="1"/>
  <c r="C18" i="1"/>
  <c r="D10" i="2"/>
  <c r="C10" i="2"/>
  <c r="G8" i="6" l="1"/>
  <c r="D18" i="1"/>
  <c r="F10" i="2"/>
  <c r="E10" i="2"/>
  <c r="G10" i="2" s="1"/>
  <c r="H10" i="2"/>
  <c r="C22" i="1"/>
  <c r="D9" i="6" l="1"/>
  <c r="H8" i="6"/>
  <c r="I8" i="6" s="1"/>
  <c r="D11" i="2"/>
  <c r="C11" i="2"/>
  <c r="F9" i="6" l="1"/>
  <c r="G9" i="6" s="1"/>
  <c r="E11" i="2"/>
  <c r="G11" i="2" s="1"/>
  <c r="F11" i="2"/>
  <c r="H11" i="2"/>
  <c r="D22" i="1"/>
  <c r="H9" i="6" l="1"/>
  <c r="I9" i="6" s="1"/>
  <c r="D12" i="2"/>
  <c r="C12" i="2"/>
  <c r="C23" i="1"/>
  <c r="E12" i="2" l="1"/>
  <c r="G12" i="2" s="1"/>
  <c r="F12" i="2"/>
  <c r="H12" i="2"/>
  <c r="D13" i="2" l="1"/>
  <c r="C13" i="2"/>
  <c r="F13" i="2" l="1"/>
  <c r="E13" i="2"/>
  <c r="G13" i="2" s="1"/>
  <c r="H13" i="2"/>
  <c r="D14" i="2" l="1"/>
  <c r="C14" i="2"/>
  <c r="F14" i="2" l="1"/>
  <c r="E14" i="2"/>
  <c r="G14" i="2" s="1"/>
  <c r="H14" i="2"/>
  <c r="C15" i="2" l="1"/>
  <c r="D15" i="2"/>
  <c r="H15" i="2" s="1"/>
  <c r="E15" i="2" l="1"/>
  <c r="G15" i="2" s="1"/>
  <c r="F15" i="2"/>
  <c r="D16" i="2" l="1"/>
  <c r="C16" i="2"/>
  <c r="F16" i="2" l="1"/>
  <c r="E16" i="2"/>
  <c r="G16" i="2" s="1"/>
  <c r="H16" i="2"/>
  <c r="C17" i="2" l="1"/>
  <c r="D17" i="2"/>
  <c r="H17" i="2" s="1"/>
  <c r="F17" i="2" l="1"/>
  <c r="E17" i="2"/>
  <c r="G17" i="2" s="1"/>
  <c r="C18" i="2" l="1"/>
  <c r="D18" i="2"/>
  <c r="H18" i="2" s="1"/>
  <c r="E18" i="2" l="1"/>
  <c r="G18" i="2" s="1"/>
  <c r="F18" i="2"/>
  <c r="C19" i="2" l="1"/>
  <c r="D19" i="2"/>
  <c r="H19" i="2" s="1"/>
  <c r="F19" i="2" l="1"/>
  <c r="E19" i="2"/>
  <c r="G19" i="2" s="1"/>
  <c r="D20" i="2" l="1"/>
  <c r="C20" i="2"/>
  <c r="E20" i="2" l="1"/>
  <c r="G20" i="2" s="1"/>
  <c r="F20" i="2"/>
  <c r="H20" i="2"/>
  <c r="D21" i="2" l="1"/>
  <c r="C21" i="2"/>
  <c r="E21" i="2" l="1"/>
  <c r="G21" i="2" s="1"/>
  <c r="F21" i="2"/>
  <c r="H21" i="2"/>
  <c r="C22" i="2" l="1"/>
  <c r="D22" i="2"/>
  <c r="H22" i="2" s="1"/>
  <c r="E22" i="2" l="1"/>
  <c r="G22" i="2" s="1"/>
  <c r="F22" i="2"/>
  <c r="D23" i="2" l="1"/>
  <c r="C23" i="2"/>
  <c r="F23" i="2" l="1"/>
  <c r="E23" i="2"/>
  <c r="G23" i="2" s="1"/>
  <c r="H23" i="2"/>
  <c r="D24" i="2" l="1"/>
  <c r="C24" i="2"/>
  <c r="E24" i="2" l="1"/>
  <c r="G24" i="2" s="1"/>
  <c r="F24" i="2"/>
  <c r="H24" i="2"/>
  <c r="C25" i="2" l="1"/>
  <c r="D25" i="2"/>
  <c r="H25" i="2" s="1"/>
  <c r="F25" i="2" l="1"/>
  <c r="E25" i="2"/>
  <c r="G25" i="2" s="1"/>
  <c r="C14" i="1" l="1"/>
  <c r="D14" i="1"/>
  <c r="C15" i="1"/>
</calcChain>
</file>

<file path=xl/sharedStrings.xml><?xml version="1.0" encoding="utf-8"?>
<sst xmlns="http://schemas.openxmlformats.org/spreadsheetml/2006/main" count="56" uniqueCount="35">
  <si>
    <t>MÉTODO DE BISCECCIÓN - PROBLEMA 4</t>
  </si>
  <si>
    <t>Ecuación: 4 - cos²x - 0.5xe^(0.3x) + 5 = 0</t>
  </si>
  <si>
    <t>PARÁMETROS:</t>
  </si>
  <si>
    <t>Tolerancia (TOL):</t>
  </si>
  <si>
    <t>Máx iteraciones:</t>
  </si>
  <si>
    <t>Función f(x):</t>
  </si>
  <si>
    <t>"=(COS(x))^2 - 0.5*x*EXP(0.3*x) + 5"</t>
  </si>
  <si>
    <t>RESULTADOS FINALES</t>
  </si>
  <si>
    <t>Raíz</t>
  </si>
  <si>
    <t>Error</t>
  </si>
  <si>
    <t>METODO DE LA BISCECCIÓN</t>
  </si>
  <si>
    <t>RAÍZ 1:</t>
  </si>
  <si>
    <t>Iteraciones:</t>
  </si>
  <si>
    <t>MÉTODO NEWTON RAPHSON</t>
  </si>
  <si>
    <t>NEWTON x₀=3.5</t>
  </si>
  <si>
    <t>MÉTODO DE LA SECANTE</t>
  </si>
  <si>
    <t>MÉTODO DE BISCECCIÓN</t>
  </si>
  <si>
    <t>a</t>
  </si>
  <si>
    <t>b</t>
  </si>
  <si>
    <t>c</t>
  </si>
  <si>
    <t>f(a)</t>
  </si>
  <si>
    <t>f(c)</t>
  </si>
  <si>
    <t>¿se debe parar?</t>
  </si>
  <si>
    <t>ITERACIONES</t>
  </si>
  <si>
    <t>RESULTADOS PROBLEMA 4</t>
  </si>
  <si>
    <t>MÉTODO DE NEWTON RAPHSON</t>
  </si>
  <si>
    <t>x_n</t>
  </si>
  <si>
    <t>f(x_n)</t>
  </si>
  <si>
    <t>f'(x_n)</t>
  </si>
  <si>
    <t>x_n+1</t>
  </si>
  <si>
    <t>RESULTADOS PROBLEMA 2</t>
  </si>
  <si>
    <t>Con x₀=3.5:</t>
  </si>
  <si>
    <t>x_n-1</t>
  </si>
  <si>
    <t>f(x_n-1)</t>
  </si>
  <si>
    <t>RESULTADOS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</si>
</sst>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left" vertical="center" indent="1"/>
    </xf>
    <xf numFmtId="11" fontId="2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2b85a41fbaaf1c/Documentos/metodos%20numericos/raices/M&#201;TODO_DE_RAICES/PROBLEMA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RAÍZ 1"/>
      <sheetName val="RESULTADOS"/>
      <sheetName val="NEWTON=3.5"/>
      <sheetName val="RESULTADOS (2)"/>
      <sheetName val="SEC=3.0,4.0"/>
      <sheetName val="RESULTADOS (3)"/>
    </sheetNames>
    <sheetDataSet>
      <sheetData sheetId="0">
        <row r="7">
          <cell r="C7">
            <v>9.9999999999999995E-7</v>
          </cell>
        </row>
      </sheetData>
      <sheetData sheetId="1"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I14" t="str">
            <v>→</v>
          </cell>
        </row>
        <row r="15">
          <cell r="I15" t="str">
            <v>→</v>
          </cell>
        </row>
        <row r="16">
          <cell r="I16" t="str">
            <v>→</v>
          </cell>
        </row>
        <row r="17">
          <cell r="I17" t="str">
            <v>→</v>
          </cell>
        </row>
        <row r="18">
          <cell r="I18" t="str">
            <v>→</v>
          </cell>
        </row>
        <row r="19">
          <cell r="I19" t="str">
            <v>→</v>
          </cell>
        </row>
        <row r="20">
          <cell r="I20" t="str">
            <v>→</v>
          </cell>
        </row>
        <row r="21">
          <cell r="I21" t="str">
            <v>→</v>
          </cell>
        </row>
        <row r="22">
          <cell r="I22" t="str">
            <v>→</v>
          </cell>
        </row>
        <row r="23">
          <cell r="I23" t="str">
            <v>→</v>
          </cell>
        </row>
        <row r="24">
          <cell r="E24">
            <v>3.7256021499633789</v>
          </cell>
          <cell r="G24">
            <v>1.1021630541563354E-7</v>
          </cell>
          <cell r="I24" t="str">
            <v>✓</v>
          </cell>
        </row>
      </sheetData>
      <sheetData sheetId="2" refreshError="1"/>
      <sheetData sheetId="3">
        <row r="5">
          <cell r="H5" t="str">
            <v>→</v>
          </cell>
        </row>
        <row r="6">
          <cell r="H6" t="str">
            <v>→</v>
          </cell>
        </row>
        <row r="7">
          <cell r="H7" t="str">
            <v>→</v>
          </cell>
        </row>
        <row r="8">
          <cell r="F8">
            <v>3.7256021764726639</v>
          </cell>
          <cell r="G8">
            <v>2.1805095506977068E-9</v>
          </cell>
        </row>
      </sheetData>
      <sheetData sheetId="4" refreshError="1"/>
      <sheetData sheetId="5"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D9">
            <v>3.7256020664136131</v>
          </cell>
          <cell r="H9">
            <v>1.1005637645666866E-7</v>
          </cell>
          <cell r="I9" t="str">
            <v>✓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6335-06B5-40DD-AB7F-A9934643E4A2}">
  <dimension ref="B3:E23"/>
  <sheetViews>
    <sheetView tabSelected="1" workbookViewId="0">
      <selection activeCell="H27" sqref="H27"/>
    </sheetView>
  </sheetViews>
  <sheetFormatPr baseColWidth="10" defaultRowHeight="15" x14ac:dyDescent="0.25"/>
  <cols>
    <col min="2" max="2" width="19.140625" customWidth="1"/>
    <col min="3" max="3" width="20" customWidth="1"/>
    <col min="4" max="4" width="16.28515625" customWidth="1"/>
  </cols>
  <sheetData>
    <row r="3" spans="2:5" x14ac:dyDescent="0.25">
      <c r="B3" s="2" t="s">
        <v>0</v>
      </c>
      <c r="C3" s="2"/>
      <c r="D3" s="2"/>
      <c r="E3" s="2"/>
    </row>
    <row r="4" spans="2:5" x14ac:dyDescent="0.25">
      <c r="B4" s="2" t="s">
        <v>1</v>
      </c>
      <c r="C4" s="2"/>
      <c r="D4" s="2"/>
      <c r="E4" s="2"/>
    </row>
    <row r="5" spans="2:5" x14ac:dyDescent="0.25">
      <c r="B5" s="1"/>
      <c r="C5" s="1"/>
      <c r="D5" s="1"/>
      <c r="E5" s="1"/>
    </row>
    <row r="6" spans="2:5" x14ac:dyDescent="0.25">
      <c r="B6" s="2" t="s">
        <v>2</v>
      </c>
      <c r="C6" s="2"/>
      <c r="D6" s="2"/>
      <c r="E6" s="1"/>
    </row>
    <row r="7" spans="2:5" x14ac:dyDescent="0.25">
      <c r="B7" s="3" t="s">
        <v>3</v>
      </c>
      <c r="C7" s="4">
        <v>9.9999999999999995E-7</v>
      </c>
      <c r="D7" s="4"/>
      <c r="E7" s="1"/>
    </row>
    <row r="8" spans="2:5" x14ac:dyDescent="0.25">
      <c r="B8" s="3" t="s">
        <v>4</v>
      </c>
      <c r="C8" s="4">
        <v>20</v>
      </c>
      <c r="D8" s="4"/>
      <c r="E8" s="1"/>
    </row>
    <row r="9" spans="2:5" x14ac:dyDescent="0.25">
      <c r="B9" s="4" t="s">
        <v>5</v>
      </c>
      <c r="C9" s="5" t="s">
        <v>6</v>
      </c>
      <c r="D9" s="6"/>
      <c r="E9" s="1"/>
    </row>
    <row r="10" spans="2:5" x14ac:dyDescent="0.25">
      <c r="B10" s="1"/>
      <c r="C10" s="1"/>
      <c r="D10" s="1"/>
      <c r="E10" s="1"/>
    </row>
    <row r="11" spans="2:5" x14ac:dyDescent="0.25">
      <c r="B11" s="13" t="s">
        <v>7</v>
      </c>
      <c r="C11" s="13"/>
      <c r="D11" s="13"/>
      <c r="E11" s="1"/>
    </row>
    <row r="12" spans="2:5" x14ac:dyDescent="0.25">
      <c r="B12" s="1"/>
      <c r="C12" s="1" t="s">
        <v>8</v>
      </c>
      <c r="D12" s="1" t="s">
        <v>9</v>
      </c>
      <c r="E12" s="1"/>
    </row>
    <row r="13" spans="2:5" x14ac:dyDescent="0.25">
      <c r="B13" s="2" t="s">
        <v>10</v>
      </c>
      <c r="C13" s="2"/>
      <c r="D13" s="2"/>
      <c r="E13" s="1"/>
    </row>
    <row r="14" spans="2:5" x14ac:dyDescent="0.25">
      <c r="B14" s="3" t="s">
        <v>11</v>
      </c>
      <c r="C14" s="7">
        <f>'[1]RAÍZ 1'!E24</f>
        <v>3.7256021499633789</v>
      </c>
      <c r="D14" s="8">
        <f>'[1]RAÍZ 1'!G24</f>
        <v>1.1021630541563354E-7</v>
      </c>
      <c r="E14" s="1"/>
    </row>
    <row r="15" spans="2:5" x14ac:dyDescent="0.25">
      <c r="B15" s="3" t="s">
        <v>12</v>
      </c>
      <c r="C15" s="7">
        <f>COUNTIF('[1]RAÍZ 1'!I5:I24,"→")+1</f>
        <v>20</v>
      </c>
      <c r="D15" s="7"/>
      <c r="E15" s="1"/>
    </row>
    <row r="16" spans="2:5" x14ac:dyDescent="0.25">
      <c r="B16" s="1"/>
      <c r="C16" s="1"/>
      <c r="D16" s="1"/>
      <c r="E16" s="1"/>
    </row>
    <row r="17" spans="2:5" x14ac:dyDescent="0.25">
      <c r="B17" s="2" t="s">
        <v>13</v>
      </c>
      <c r="C17" s="2"/>
      <c r="D17" s="2"/>
      <c r="E17" s="1"/>
    </row>
    <row r="18" spans="2:5" x14ac:dyDescent="0.25">
      <c r="B18" s="3" t="s">
        <v>14</v>
      </c>
      <c r="C18" s="7">
        <f>'[1]NEWTON=3.5'!F8</f>
        <v>3.7256021764726639</v>
      </c>
      <c r="D18" s="8">
        <f>'[1]NEWTON=3.5'!G8</f>
        <v>2.1805095506977068E-9</v>
      </c>
      <c r="E18" s="1"/>
    </row>
    <row r="19" spans="2:5" x14ac:dyDescent="0.25">
      <c r="B19" s="3" t="s">
        <v>12</v>
      </c>
      <c r="C19" s="7">
        <f>COUNTIF('[1]NEWTON=3.5'!H5:H7,"→")+1</f>
        <v>4</v>
      </c>
      <c r="D19" s="7"/>
      <c r="E19" s="1"/>
    </row>
    <row r="20" spans="2:5" x14ac:dyDescent="0.25">
      <c r="B20" s="1"/>
      <c r="C20" s="1"/>
      <c r="D20" s="1"/>
      <c r="E20" s="1"/>
    </row>
    <row r="21" spans="2:5" x14ac:dyDescent="0.25">
      <c r="B21" s="2" t="s">
        <v>15</v>
      </c>
      <c r="C21" s="2"/>
      <c r="D21" s="2"/>
      <c r="E21" s="1"/>
    </row>
    <row r="22" spans="2:5" x14ac:dyDescent="0.25">
      <c r="B22" s="3" t="s">
        <v>11</v>
      </c>
      <c r="C22" s="7">
        <f>'[1]SEC=3.0,4.0'!D9</f>
        <v>3.7256020664136131</v>
      </c>
      <c r="D22" s="8">
        <f>'[1]SEC=3.0,4.0'!H9</f>
        <v>1.1005637645666866E-7</v>
      </c>
      <c r="E22" s="1"/>
    </row>
    <row r="23" spans="2:5" x14ac:dyDescent="0.25">
      <c r="B23" s="3" t="s">
        <v>12</v>
      </c>
      <c r="C23" s="7">
        <f>COUNTIF('[1]SEC=3.0,4.0'!I5:I9,"→")+1</f>
        <v>5</v>
      </c>
      <c r="D23" s="7"/>
      <c r="E23" s="1"/>
    </row>
  </sheetData>
  <mergeCells count="8">
    <mergeCell ref="B21:D21"/>
    <mergeCell ref="B3:E3"/>
    <mergeCell ref="C9:D9"/>
    <mergeCell ref="B4:E4"/>
    <mergeCell ref="B6:D6"/>
    <mergeCell ref="B11:D11"/>
    <mergeCell ref="B13:D13"/>
    <mergeCell ref="B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FA87-24FC-4ECE-881D-7215077B7EC9}">
  <dimension ref="B3:I25"/>
  <sheetViews>
    <sheetView workbookViewId="0">
      <selection activeCell="K12" sqref="K12"/>
    </sheetView>
  </sheetViews>
  <sheetFormatPr baseColWidth="10" defaultRowHeight="15" x14ac:dyDescent="0.25"/>
  <cols>
    <col min="2" max="2" width="16.42578125" customWidth="1"/>
    <col min="9" max="9" width="16" customWidth="1"/>
  </cols>
  <sheetData>
    <row r="3" spans="2:9" ht="20.25" customHeight="1" x14ac:dyDescent="0.25">
      <c r="B3" s="2" t="s">
        <v>16</v>
      </c>
      <c r="C3" s="2"/>
      <c r="D3" s="2"/>
      <c r="E3" s="2"/>
      <c r="F3" s="2"/>
      <c r="G3" s="2"/>
      <c r="H3" s="2"/>
      <c r="I3" s="2"/>
    </row>
    <row r="4" spans="2:9" ht="19.5" customHeight="1" x14ac:dyDescent="0.25">
      <c r="B4" s="3" t="s">
        <v>23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9</v>
      </c>
      <c r="I4" s="3" t="s">
        <v>22</v>
      </c>
    </row>
    <row r="5" spans="2:9" x14ac:dyDescent="0.25">
      <c r="B5" s="3">
        <v>1</v>
      </c>
      <c r="C5" s="9">
        <v>3</v>
      </c>
      <c r="D5" s="9">
        <v>4</v>
      </c>
      <c r="E5" s="9">
        <f>(C5+D5)/2</f>
        <v>3.5</v>
      </c>
      <c r="F5" s="8">
        <f>(COS(C5))^2 - 0.5*C5*EXP(0.3*C5) + 5</f>
        <v>2.2906804765897588</v>
      </c>
      <c r="G5" s="8">
        <f>(COS(E5))^2 - 0.5*E5*EXP(0.3*E5) + 5</f>
        <v>0.87606167056111595</v>
      </c>
      <c r="H5" s="8">
        <f>ABS(D5-C5)/2</f>
        <v>0.5</v>
      </c>
      <c r="I5" s="7" t="str">
        <f>IF(OR(ABS(G5)&lt;=[1]CONFIG!$C$7,H5&lt;=[1]CONFIG!$C$7),"Si","No")</f>
        <v>No</v>
      </c>
    </row>
    <row r="6" spans="2:9" x14ac:dyDescent="0.25">
      <c r="B6" s="3">
        <f>B5+1</f>
        <v>2</v>
      </c>
      <c r="C6" s="9">
        <f>IF(F5*G5&lt;0,C5,E5)</f>
        <v>3.5</v>
      </c>
      <c r="D6" s="9">
        <f>IF(F5*G5&lt;0,E5,D5)</f>
        <v>4</v>
      </c>
      <c r="E6" s="9">
        <f>(C6+D6)/2</f>
        <v>3.75</v>
      </c>
      <c r="F6" s="8">
        <f>(COS(C6))^2 - 0.5*C6*EXP(0.3*C6) + 5</f>
        <v>0.87606167056111595</v>
      </c>
      <c r="G6" s="8">
        <f>(COS(E6))^2 - 0.5*E6*EXP(0.3*E6) + 5</f>
        <v>-0.10208893280379527</v>
      </c>
      <c r="H6" s="8">
        <f>ABS(D6-C6)/2</f>
        <v>0.25</v>
      </c>
      <c r="I6" s="7" t="str">
        <f>IF(OR(ABS(G6)&lt;=[1]CONFIG!$C$7,H6&lt;=[1]CONFIG!$C$7),"Si","No")</f>
        <v>No</v>
      </c>
    </row>
    <row r="7" spans="2:9" x14ac:dyDescent="0.25">
      <c r="B7" s="3">
        <f t="shared" ref="B7:B25" si="0">B6+1</f>
        <v>3</v>
      </c>
      <c r="C7" s="9">
        <f t="shared" ref="C7:C25" si="1">IF(F6*G6&lt;0,C6,E6)</f>
        <v>3.5</v>
      </c>
      <c r="D7" s="9">
        <f t="shared" ref="D7:D25" si="2">IF(F6*G6&lt;0,E6,D6)</f>
        <v>3.75</v>
      </c>
      <c r="E7" s="9">
        <f t="shared" ref="E7:E25" si="3">(C7+D7)/2</f>
        <v>3.625</v>
      </c>
      <c r="F7" s="8">
        <f t="shared" ref="F7:F25" si="4">(COS(C7))^2 - 0.5*C7*EXP(0.3*C7) + 5</f>
        <v>0.87606167056111595</v>
      </c>
      <c r="G7" s="8">
        <f t="shared" ref="G7:G25" si="5">(COS(E7))^2 - 0.5*E7*EXP(0.3*E7) + 5</f>
        <v>0.40655067707081294</v>
      </c>
      <c r="H7" s="8">
        <f t="shared" ref="H7:H25" si="6">ABS(D7-C7)/2</f>
        <v>0.125</v>
      </c>
      <c r="I7" s="7" t="str">
        <f>IF(OR(ABS(G7)&lt;=[1]CONFIG!$C$7,H7&lt;=[1]CONFIG!$C$7),"Si","No")</f>
        <v>No</v>
      </c>
    </row>
    <row r="8" spans="2:9" x14ac:dyDescent="0.25">
      <c r="B8" s="3">
        <f t="shared" si="0"/>
        <v>4</v>
      </c>
      <c r="C8" s="9">
        <f t="shared" si="1"/>
        <v>3.625</v>
      </c>
      <c r="D8" s="9">
        <f t="shared" si="2"/>
        <v>3.75</v>
      </c>
      <c r="E8" s="9">
        <f t="shared" si="3"/>
        <v>3.6875</v>
      </c>
      <c r="F8" s="8">
        <f t="shared" si="4"/>
        <v>0.40655067707081294</v>
      </c>
      <c r="G8" s="8">
        <f t="shared" si="5"/>
        <v>0.15677999132921183</v>
      </c>
      <c r="H8" s="8">
        <f t="shared" si="6"/>
        <v>6.25E-2</v>
      </c>
      <c r="I8" s="7" t="str">
        <f>IF(OR(ABS(G8)&lt;=[1]CONFIG!$C$7,H8&lt;=[1]CONFIG!$C$7),"Si","No")</f>
        <v>No</v>
      </c>
    </row>
    <row r="9" spans="2:9" x14ac:dyDescent="0.25">
      <c r="B9" s="3">
        <f t="shared" si="0"/>
        <v>5</v>
      </c>
      <c r="C9" s="9">
        <f t="shared" si="1"/>
        <v>3.6875</v>
      </c>
      <c r="D9" s="9">
        <f t="shared" si="2"/>
        <v>3.75</v>
      </c>
      <c r="E9" s="9">
        <f t="shared" si="3"/>
        <v>3.71875</v>
      </c>
      <c r="F9" s="8">
        <f t="shared" si="4"/>
        <v>0.15677999132921183</v>
      </c>
      <c r="G9" s="8">
        <f t="shared" si="5"/>
        <v>2.8436804737782317E-2</v>
      </c>
      <c r="H9" s="8">
        <f t="shared" si="6"/>
        <v>3.125E-2</v>
      </c>
      <c r="I9" s="7" t="str">
        <f>IF(OR(ABS(G9)&lt;=[1]CONFIG!$C$7,H9&lt;=[1]CONFIG!$C$7),"Si","No")</f>
        <v>No</v>
      </c>
    </row>
    <row r="10" spans="2:9" x14ac:dyDescent="0.25">
      <c r="B10" s="3">
        <f t="shared" si="0"/>
        <v>6</v>
      </c>
      <c r="C10" s="9">
        <f t="shared" si="1"/>
        <v>3.71875</v>
      </c>
      <c r="D10" s="9">
        <f t="shared" si="2"/>
        <v>3.75</v>
      </c>
      <c r="E10" s="9">
        <f t="shared" si="3"/>
        <v>3.734375</v>
      </c>
      <c r="F10" s="8">
        <f t="shared" si="4"/>
        <v>2.8436804737782317E-2</v>
      </c>
      <c r="G10" s="8">
        <f t="shared" si="5"/>
        <v>-3.6559165284978157E-2</v>
      </c>
      <c r="H10" s="8">
        <f t="shared" si="6"/>
        <v>1.5625E-2</v>
      </c>
      <c r="I10" s="7" t="str">
        <f>IF(OR(ABS(G10)&lt;=[1]CONFIG!$C$7,H10&lt;=[1]CONFIG!$C$7),"Si","No")</f>
        <v>No</v>
      </c>
    </row>
    <row r="11" spans="2:9" x14ac:dyDescent="0.25">
      <c r="B11" s="3">
        <f t="shared" si="0"/>
        <v>7</v>
      </c>
      <c r="C11" s="9">
        <f t="shared" si="1"/>
        <v>3.71875</v>
      </c>
      <c r="D11" s="9">
        <f t="shared" si="2"/>
        <v>3.734375</v>
      </c>
      <c r="E11" s="9">
        <f t="shared" si="3"/>
        <v>3.7265625</v>
      </c>
      <c r="F11" s="8">
        <f t="shared" si="4"/>
        <v>2.8436804737782317E-2</v>
      </c>
      <c r="G11" s="8">
        <f t="shared" si="5"/>
        <v>-3.9937086888297557E-3</v>
      </c>
      <c r="H11" s="8">
        <f t="shared" si="6"/>
        <v>7.8125E-3</v>
      </c>
      <c r="I11" s="7" t="str">
        <f>IF(OR(ABS(G11)&lt;=[1]CONFIG!$C$7,H11&lt;=[1]CONFIG!$C$7),"Si","No")</f>
        <v>No</v>
      </c>
    </row>
    <row r="12" spans="2:9" x14ac:dyDescent="0.25">
      <c r="B12" s="3">
        <f t="shared" si="0"/>
        <v>8</v>
      </c>
      <c r="C12" s="9">
        <f t="shared" si="1"/>
        <v>3.71875</v>
      </c>
      <c r="D12" s="9">
        <f t="shared" si="2"/>
        <v>3.7265625</v>
      </c>
      <c r="E12" s="9">
        <f t="shared" si="3"/>
        <v>3.72265625</v>
      </c>
      <c r="F12" s="8">
        <f t="shared" si="4"/>
        <v>2.8436804737782317E-2</v>
      </c>
      <c r="G12" s="8">
        <f t="shared" si="5"/>
        <v>1.2238508701804207E-2</v>
      </c>
      <c r="H12" s="8">
        <f t="shared" si="6"/>
        <v>3.90625E-3</v>
      </c>
      <c r="I12" s="7" t="str">
        <f>IF(OR(ABS(G12)&lt;=[1]CONFIG!$C$7,H12&lt;=[1]CONFIG!$C$7),"Si","No")</f>
        <v>No</v>
      </c>
    </row>
    <row r="13" spans="2:9" x14ac:dyDescent="0.25">
      <c r="B13" s="3">
        <f t="shared" si="0"/>
        <v>9</v>
      </c>
      <c r="C13" s="9">
        <f t="shared" si="1"/>
        <v>3.72265625</v>
      </c>
      <c r="D13" s="9">
        <f t="shared" si="2"/>
        <v>3.7265625</v>
      </c>
      <c r="E13" s="9">
        <f t="shared" si="3"/>
        <v>3.724609375</v>
      </c>
      <c r="F13" s="8">
        <f t="shared" si="4"/>
        <v>1.2238508701804207E-2</v>
      </c>
      <c r="G13" s="8">
        <f t="shared" si="5"/>
        <v>4.1266286048040612E-3</v>
      </c>
      <c r="H13" s="8">
        <f t="shared" si="6"/>
        <v>1.953125E-3</v>
      </c>
      <c r="I13" s="7" t="str">
        <f>IF(OR(ABS(G13)&lt;=[1]CONFIG!$C$7,H13&lt;=[1]CONFIG!$C$7),"Si","No")</f>
        <v>No</v>
      </c>
    </row>
    <row r="14" spans="2:9" x14ac:dyDescent="0.25">
      <c r="B14" s="3">
        <f t="shared" si="0"/>
        <v>10</v>
      </c>
      <c r="C14" s="9">
        <f t="shared" si="1"/>
        <v>3.724609375</v>
      </c>
      <c r="D14" s="9">
        <f t="shared" si="2"/>
        <v>3.7265625</v>
      </c>
      <c r="E14" s="9">
        <f t="shared" si="3"/>
        <v>3.7255859375</v>
      </c>
      <c r="F14" s="8">
        <f t="shared" si="4"/>
        <v>4.1266286048040612E-3</v>
      </c>
      <c r="G14" s="8">
        <f t="shared" si="5"/>
        <v>6.7515658837891124E-5</v>
      </c>
      <c r="H14" s="8">
        <f t="shared" si="6"/>
        <v>9.765625E-4</v>
      </c>
      <c r="I14" s="7" t="str">
        <f>IF(OR(ABS(G14)&lt;=[1]CONFIG!$C$7,H14&lt;=[1]CONFIG!$C$7),"Si","No")</f>
        <v>No</v>
      </c>
    </row>
    <row r="15" spans="2:9" x14ac:dyDescent="0.25">
      <c r="B15" s="3">
        <f t="shared" si="0"/>
        <v>11</v>
      </c>
      <c r="C15" s="9">
        <f t="shared" si="1"/>
        <v>3.7255859375</v>
      </c>
      <c r="D15" s="9">
        <f t="shared" si="2"/>
        <v>3.7265625</v>
      </c>
      <c r="E15" s="9">
        <f t="shared" si="3"/>
        <v>3.72607421875</v>
      </c>
      <c r="F15" s="8">
        <f t="shared" si="4"/>
        <v>6.7515658837891124E-5</v>
      </c>
      <c r="G15" s="8">
        <f t="shared" si="5"/>
        <v>-1.9628327710181637E-3</v>
      </c>
      <c r="H15" s="8">
        <f t="shared" si="6"/>
        <v>4.8828125E-4</v>
      </c>
      <c r="I15" s="7" t="str">
        <f>IF(OR(ABS(G15)&lt;=[1]CONFIG!$C$7,H15&lt;=[1]CONFIG!$C$7),"Si","No")</f>
        <v>No</v>
      </c>
    </row>
    <row r="16" spans="2:9" x14ac:dyDescent="0.25">
      <c r="B16" s="3">
        <f t="shared" si="0"/>
        <v>12</v>
      </c>
      <c r="C16" s="9">
        <f t="shared" si="1"/>
        <v>3.7255859375</v>
      </c>
      <c r="D16" s="9">
        <f t="shared" si="2"/>
        <v>3.72607421875</v>
      </c>
      <c r="E16" s="9">
        <f t="shared" si="3"/>
        <v>3.725830078125</v>
      </c>
      <c r="F16" s="8">
        <f t="shared" si="4"/>
        <v>6.7515658837891124E-5</v>
      </c>
      <c r="G16" s="8">
        <f t="shared" si="5"/>
        <v>-9.47592597435154E-4</v>
      </c>
      <c r="H16" s="8">
        <f t="shared" si="6"/>
        <v>2.44140625E-4</v>
      </c>
      <c r="I16" s="7" t="str">
        <f>IF(OR(ABS(G16)&lt;=[1]CONFIG!$C$7,H16&lt;=[1]CONFIG!$C$7),"Si","No")</f>
        <v>No</v>
      </c>
    </row>
    <row r="17" spans="2:9" x14ac:dyDescent="0.25">
      <c r="B17" s="3">
        <f t="shared" si="0"/>
        <v>13</v>
      </c>
      <c r="C17" s="9">
        <f t="shared" si="1"/>
        <v>3.7255859375</v>
      </c>
      <c r="D17" s="9">
        <f t="shared" si="2"/>
        <v>3.725830078125</v>
      </c>
      <c r="E17" s="9">
        <f t="shared" si="3"/>
        <v>3.7257080078125</v>
      </c>
      <c r="F17" s="8">
        <f t="shared" si="4"/>
        <v>6.7515658837891124E-5</v>
      </c>
      <c r="G17" s="8">
        <f t="shared" si="5"/>
        <v>-4.4002197680192978E-4</v>
      </c>
      <c r="H17" s="8">
        <f t="shared" si="6"/>
        <v>1.220703125E-4</v>
      </c>
      <c r="I17" s="7" t="str">
        <f>IF(OR(ABS(G17)&lt;=[1]CONFIG!$C$7,H17&lt;=[1]CONFIG!$C$7),"Si","No")</f>
        <v>No</v>
      </c>
    </row>
    <row r="18" spans="2:9" x14ac:dyDescent="0.25">
      <c r="B18" s="3">
        <f t="shared" si="0"/>
        <v>14</v>
      </c>
      <c r="C18" s="9">
        <f t="shared" si="1"/>
        <v>3.7255859375</v>
      </c>
      <c r="D18" s="9">
        <f t="shared" si="2"/>
        <v>3.7257080078125</v>
      </c>
      <c r="E18" s="9">
        <f t="shared" si="3"/>
        <v>3.72564697265625</v>
      </c>
      <c r="F18" s="8">
        <f t="shared" si="4"/>
        <v>6.7515658837891124E-5</v>
      </c>
      <c r="G18" s="8">
        <f t="shared" si="5"/>
        <v>-1.8624903550357175E-4</v>
      </c>
      <c r="H18" s="8">
        <f t="shared" si="6"/>
        <v>6.103515625E-5</v>
      </c>
      <c r="I18" s="7" t="str">
        <f>IF(OR(ABS(G18)&lt;=[1]CONFIG!$C$7,H18&lt;=[1]CONFIG!$C$7),"Si","No")</f>
        <v>No</v>
      </c>
    </row>
    <row r="19" spans="2:9" x14ac:dyDescent="0.25">
      <c r="B19" s="3">
        <f t="shared" si="0"/>
        <v>15</v>
      </c>
      <c r="C19" s="9">
        <f t="shared" si="1"/>
        <v>3.7255859375</v>
      </c>
      <c r="D19" s="9">
        <f t="shared" si="2"/>
        <v>3.72564697265625</v>
      </c>
      <c r="E19" s="9">
        <f t="shared" si="3"/>
        <v>3.725616455078125</v>
      </c>
      <c r="F19" s="8">
        <f t="shared" si="4"/>
        <v>6.7515658837891124E-5</v>
      </c>
      <c r="G19" s="8">
        <f t="shared" si="5"/>
        <v>-5.9365657417487228E-5</v>
      </c>
      <c r="H19" s="8">
        <f t="shared" si="6"/>
        <v>3.0517578125E-5</v>
      </c>
      <c r="I19" s="7" t="str">
        <f>IF(OR(ABS(G19)&lt;=[1]CONFIG!$C$7,H19&lt;=[1]CONFIG!$C$7),"Si","No")</f>
        <v>No</v>
      </c>
    </row>
    <row r="20" spans="2:9" x14ac:dyDescent="0.25">
      <c r="B20" s="3">
        <f t="shared" si="0"/>
        <v>16</v>
      </c>
      <c r="C20" s="9">
        <f t="shared" si="1"/>
        <v>3.7255859375</v>
      </c>
      <c r="D20" s="9">
        <f t="shared" si="2"/>
        <v>3.725616455078125</v>
      </c>
      <c r="E20" s="9">
        <f t="shared" si="3"/>
        <v>3.7256011962890625</v>
      </c>
      <c r="F20" s="8">
        <f t="shared" si="4"/>
        <v>6.7515658837891124E-5</v>
      </c>
      <c r="G20" s="8">
        <f t="shared" si="5"/>
        <v>4.0752584435921335E-6</v>
      </c>
      <c r="H20" s="8">
        <f t="shared" si="6"/>
        <v>1.52587890625E-5</v>
      </c>
      <c r="I20" s="7" t="str">
        <f>IF(OR(ABS(G20)&lt;=[1]CONFIG!$C$7,H20&lt;=[1]CONFIG!$C$7),"Si","No")</f>
        <v>No</v>
      </c>
    </row>
    <row r="21" spans="2:9" x14ac:dyDescent="0.25">
      <c r="B21" s="3">
        <f t="shared" si="0"/>
        <v>17</v>
      </c>
      <c r="C21" s="9">
        <f t="shared" si="1"/>
        <v>3.7256011962890625</v>
      </c>
      <c r="D21" s="9">
        <f t="shared" si="2"/>
        <v>3.725616455078125</v>
      </c>
      <c r="E21" s="9">
        <f t="shared" si="3"/>
        <v>3.7256088256835938</v>
      </c>
      <c r="F21" s="8">
        <f t="shared" si="4"/>
        <v>4.0752584435921335E-6</v>
      </c>
      <c r="G21" s="8">
        <f t="shared" si="5"/>
        <v>-2.764513505404409E-5</v>
      </c>
      <c r="H21" s="8">
        <f t="shared" si="6"/>
        <v>7.62939453125E-6</v>
      </c>
      <c r="I21" s="7" t="str">
        <f>IF(OR(ABS(G21)&lt;=[1]CONFIG!$C$7,H21&lt;=[1]CONFIG!$C$7),"Si","No")</f>
        <v>No</v>
      </c>
    </row>
    <row r="22" spans="2:9" x14ac:dyDescent="0.25">
      <c r="B22" s="3">
        <f t="shared" si="0"/>
        <v>18</v>
      </c>
      <c r="C22" s="9">
        <f t="shared" si="1"/>
        <v>3.7256011962890625</v>
      </c>
      <c r="D22" s="9">
        <f t="shared" si="2"/>
        <v>3.7256088256835938</v>
      </c>
      <c r="E22" s="9">
        <f t="shared" si="3"/>
        <v>3.7256050109863281</v>
      </c>
      <c r="F22" s="8">
        <f t="shared" si="4"/>
        <v>4.0752584435921335E-6</v>
      </c>
      <c r="G22" s="8">
        <f t="shared" si="5"/>
        <v>-1.1784922197222159E-5</v>
      </c>
      <c r="H22" s="8">
        <f t="shared" si="6"/>
        <v>3.814697265625E-6</v>
      </c>
      <c r="I22" s="7" t="str">
        <f>IF(OR(ABS(G22)&lt;=[1]CONFIG!$C$7,H22&lt;=[1]CONFIG!$C$7),"Si","No")</f>
        <v>No</v>
      </c>
    </row>
    <row r="23" spans="2:9" x14ac:dyDescent="0.25">
      <c r="B23" s="3">
        <f t="shared" si="0"/>
        <v>19</v>
      </c>
      <c r="C23" s="9">
        <f t="shared" si="1"/>
        <v>3.7256011962890625</v>
      </c>
      <c r="D23" s="9">
        <f t="shared" si="2"/>
        <v>3.7256050109863281</v>
      </c>
      <c r="E23" s="9">
        <f t="shared" si="3"/>
        <v>3.7256031036376953</v>
      </c>
      <c r="F23" s="8">
        <f t="shared" si="4"/>
        <v>4.0752584435921335E-6</v>
      </c>
      <c r="G23" s="8">
        <f t="shared" si="5"/>
        <v>-3.8548278489258792E-6</v>
      </c>
      <c r="H23" s="8">
        <f t="shared" si="6"/>
        <v>1.9073486328125E-6</v>
      </c>
      <c r="I23" s="7" t="str">
        <f>IF(OR(ABS(G23)&lt;=[1]CONFIG!$C$7,H23&lt;=[1]CONFIG!$C$7),"Si","No")</f>
        <v>No</v>
      </c>
    </row>
    <row r="24" spans="2:9" x14ac:dyDescent="0.25">
      <c r="B24" s="3">
        <f t="shared" si="0"/>
        <v>20</v>
      </c>
      <c r="C24" s="9">
        <f t="shared" si="1"/>
        <v>3.7256011962890625</v>
      </c>
      <c r="D24" s="9">
        <f t="shared" si="2"/>
        <v>3.7256031036376953</v>
      </c>
      <c r="E24" s="9">
        <f t="shared" si="3"/>
        <v>3.7256021499633789</v>
      </c>
      <c r="F24" s="8">
        <f t="shared" si="4"/>
        <v>4.0752584435921335E-6</v>
      </c>
      <c r="G24" s="8">
        <f t="shared" si="5"/>
        <v>1.1021630541563354E-7</v>
      </c>
      <c r="H24" s="8">
        <f t="shared" si="6"/>
        <v>9.5367431640625E-7</v>
      </c>
      <c r="I24" s="7" t="str">
        <f>IF(OR(ABS(G24)&lt;=[1]CONFIG!$C$7,H24&lt;=[1]CONFIG!$C$7),"Si","No")</f>
        <v>Si</v>
      </c>
    </row>
    <row r="25" spans="2:9" x14ac:dyDescent="0.25">
      <c r="B25" s="3">
        <f t="shared" si="0"/>
        <v>21</v>
      </c>
      <c r="C25" s="9">
        <f t="shared" si="1"/>
        <v>3.7256021499633789</v>
      </c>
      <c r="D25" s="9">
        <f t="shared" si="2"/>
        <v>3.7256031036376953</v>
      </c>
      <c r="E25" s="9">
        <f t="shared" si="3"/>
        <v>3.7256026268005371</v>
      </c>
      <c r="F25" s="8">
        <f t="shared" si="4"/>
        <v>1.1021630541563354E-7</v>
      </c>
      <c r="G25" s="8">
        <f t="shared" si="5"/>
        <v>-1.8723055212888084E-6</v>
      </c>
      <c r="H25" s="8">
        <f t="shared" si="6"/>
        <v>4.76837158203125E-7</v>
      </c>
      <c r="I25" s="7" t="str">
        <f>IF(OR(ABS(G25)&lt;=[1]CONFIG!$C$7,H25&lt;=[1]CONFIG!$C$7),"Si","No")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5A3D-3D4C-4EF4-AC3F-E2708708BAB7}">
  <dimension ref="B3:D7"/>
  <sheetViews>
    <sheetView workbookViewId="0">
      <selection activeCell="K18" sqref="K18:K19"/>
    </sheetView>
  </sheetViews>
  <sheetFormatPr baseColWidth="10" defaultRowHeight="15" x14ac:dyDescent="0.25"/>
  <cols>
    <col min="2" max="2" width="14.140625" customWidth="1"/>
  </cols>
  <sheetData>
    <row r="3" spans="2:4" ht="20.25" customHeight="1" x14ac:dyDescent="0.25">
      <c r="B3" s="2" t="s">
        <v>24</v>
      </c>
      <c r="C3" s="2"/>
      <c r="D3" s="2"/>
    </row>
    <row r="4" spans="2:4" ht="19.5" customHeight="1" x14ac:dyDescent="0.25">
      <c r="B4" s="2" t="s">
        <v>16</v>
      </c>
      <c r="C4" s="2"/>
      <c r="D4" s="2"/>
    </row>
    <row r="5" spans="2:4" x14ac:dyDescent="0.25">
      <c r="B5" s="10"/>
      <c r="C5" s="10"/>
      <c r="D5" s="10"/>
    </row>
    <row r="6" spans="2:4" x14ac:dyDescent="0.25">
      <c r="B6" s="11" t="s">
        <v>11</v>
      </c>
      <c r="C6" s="12">
        <f>'[1]RAÍZ 1'!E24</f>
        <v>3.7256021499633789</v>
      </c>
      <c r="D6" s="12">
        <f>'[1]RAÍZ 1'!G24</f>
        <v>1.1021630541563354E-7</v>
      </c>
    </row>
    <row r="7" spans="2:4" x14ac:dyDescent="0.25">
      <c r="B7" s="11" t="s">
        <v>12</v>
      </c>
      <c r="C7" s="12">
        <f>COUNTIF('[1]RAÍZ 1'!I5:I24,"→")+1</f>
        <v>20</v>
      </c>
      <c r="D7" s="12"/>
    </row>
  </sheetData>
  <mergeCells count="2">
    <mergeCell ref="B3:D3"/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3619-52CE-4159-B290-F9B66F7231CF}">
  <dimension ref="B3:H8"/>
  <sheetViews>
    <sheetView workbookViewId="0">
      <selection activeCell="L11" sqref="L11"/>
    </sheetView>
  </sheetViews>
  <sheetFormatPr baseColWidth="10" defaultRowHeight="15" x14ac:dyDescent="0.25"/>
  <cols>
    <col min="2" max="2" width="15" customWidth="1"/>
    <col min="8" max="8" width="15.85546875" customWidth="1"/>
  </cols>
  <sheetData>
    <row r="3" spans="2:8" ht="21" customHeight="1" x14ac:dyDescent="0.25">
      <c r="B3" s="2" t="s">
        <v>25</v>
      </c>
      <c r="C3" s="2"/>
      <c r="D3" s="2"/>
      <c r="E3" s="2"/>
      <c r="F3" s="2"/>
      <c r="G3" s="2"/>
      <c r="H3" s="2"/>
    </row>
    <row r="4" spans="2:8" ht="23.25" customHeight="1" x14ac:dyDescent="0.25">
      <c r="B4" s="3" t="s">
        <v>23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9</v>
      </c>
      <c r="H4" s="3" t="s">
        <v>22</v>
      </c>
    </row>
    <row r="5" spans="2:8" x14ac:dyDescent="0.25">
      <c r="B5" s="3">
        <v>1</v>
      </c>
      <c r="C5" s="9">
        <v>3.5</v>
      </c>
      <c r="D5" s="14">
        <f>(COS(C5))^2 - 0.5*C5*EXP(0.3*C5) + 5</f>
        <v>0.87606167056111595</v>
      </c>
      <c r="E5" s="9">
        <f>-2*COS(C5)*SIN(C5) - 0.5*(EXP(0.3*C5) + 0.3*C5*EXP(0.3*C5))</f>
        <v>-3.5860789947335321</v>
      </c>
      <c r="F5" s="9">
        <f>C5 - D5/E5</f>
        <v>3.7442951401370936</v>
      </c>
      <c r="G5" s="8">
        <f>ABS(F5-C5)</f>
        <v>0.24429514013709364</v>
      </c>
      <c r="H5" s="7" t="str">
        <f>IF(OR(ABS(F5)&lt;=[1]CONFIG!$C$7,G5&lt;=[1]CONFIG!$C$7),"Si","No")</f>
        <v>No</v>
      </c>
    </row>
    <row r="6" spans="2:8" x14ac:dyDescent="0.25">
      <c r="B6" s="3">
        <f>B5+1</f>
        <v>2</v>
      </c>
      <c r="C6" s="9">
        <f>F5</f>
        <v>3.7442951401370936</v>
      </c>
      <c r="D6" s="14">
        <f>(COS(C6))^2 - 0.5*C6*EXP(0.3*C6) + 5</f>
        <v>-7.8102181147251315E-2</v>
      </c>
      <c r="E6" s="9">
        <f>-2*COS(C6)*SIN(C6) - 0.5*(EXP(0.3*C6) + 0.3*C6*EXP(0.3*C6))</f>
        <v>-4.1984867244486175</v>
      </c>
      <c r="F6" s="9">
        <f>C6 - D6/E6</f>
        <v>3.7256926801858814</v>
      </c>
      <c r="G6" s="8">
        <f>ABS(F6-C6)</f>
        <v>1.8602459951212236E-2</v>
      </c>
      <c r="H6" s="7" t="str">
        <f>IF(OR(ABS(F6)&lt;=[1]CONFIG!$C$7,G6&lt;=[1]CONFIG!$C$7),"Si","No")</f>
        <v>No</v>
      </c>
    </row>
    <row r="7" spans="2:8" x14ac:dyDescent="0.25">
      <c r="B7" s="3">
        <f>B6+1</f>
        <v>3</v>
      </c>
      <c r="C7" s="9">
        <f>F6</f>
        <v>3.7256926801858814</v>
      </c>
      <c r="D7" s="14">
        <f>(COS(C7))^2 - 0.5*C7*EXP(0.3*C7) + 5</f>
        <v>-3.7629175216125077E-4</v>
      </c>
      <c r="E7" s="9">
        <f>-2*COS(C7)*SIN(C7) - 0.5*(EXP(0.3*C7) + 0.3*C7*EXP(0.3*C7))</f>
        <v>-4.1578494960558432</v>
      </c>
      <c r="F7" s="9">
        <f>C7 - D7/E7</f>
        <v>3.7256021786531734</v>
      </c>
      <c r="G7" s="8">
        <f>ABS(F7-C7)</f>
        <v>9.0501532707953913E-5</v>
      </c>
      <c r="H7" s="7" t="str">
        <f>IF(OR(ABS(F7)&lt;=[1]CONFIG!$C$7,G7&lt;=[1]CONFIG!$C$7),"Si","No")</f>
        <v>No</v>
      </c>
    </row>
    <row r="8" spans="2:8" x14ac:dyDescent="0.25">
      <c r="B8" s="3">
        <f>B7+1</f>
        <v>4</v>
      </c>
      <c r="C8" s="9">
        <f>F7</f>
        <v>3.7256021786531734</v>
      </c>
      <c r="D8" s="14">
        <f>(COS(C8))^2 - 0.5*C8*EXP(0.3*C8) + 5</f>
        <v>-9.0657943374594652E-9</v>
      </c>
      <c r="E8" s="9">
        <f>-2*COS(C8)*SIN(C8) - 0.5*(EXP(0.3*C8) + 0.3*C8*EXP(0.3*C8))</f>
        <v>-4.1576491461214049</v>
      </c>
      <c r="F8" s="9">
        <f>C8 - D8/E8</f>
        <v>3.7256021764726639</v>
      </c>
      <c r="G8" s="8">
        <f>ABS(F8-C8)</f>
        <v>2.1805095506977068E-9</v>
      </c>
      <c r="H8" s="7" t="str">
        <f>IF(OR(ABS(F8)&lt;=[1]CONFIG!$C$7,G8&lt;=[1]CONFIG!$C$7),"Si","No")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145-9983-4DA8-BD0B-2C961394E304}">
  <dimension ref="B3:D7"/>
  <sheetViews>
    <sheetView workbookViewId="0">
      <selection activeCell="H7" sqref="H7"/>
    </sheetView>
  </sheetViews>
  <sheetFormatPr baseColWidth="10" defaultRowHeight="15" x14ac:dyDescent="0.25"/>
  <cols>
    <col min="2" max="2" width="15.85546875" customWidth="1"/>
  </cols>
  <sheetData>
    <row r="3" spans="2:4" x14ac:dyDescent="0.25">
      <c r="B3" s="2" t="s">
        <v>30</v>
      </c>
      <c r="C3" s="2"/>
      <c r="D3" s="2"/>
    </row>
    <row r="4" spans="2:4" x14ac:dyDescent="0.25">
      <c r="B4" s="16" t="s">
        <v>31</v>
      </c>
      <c r="C4" s="17"/>
      <c r="D4" s="17"/>
    </row>
    <row r="5" spans="2:4" x14ac:dyDescent="0.25">
      <c r="B5" s="10"/>
      <c r="C5" s="10"/>
      <c r="D5" s="10"/>
    </row>
    <row r="6" spans="2:4" x14ac:dyDescent="0.25">
      <c r="B6" s="11" t="s">
        <v>14</v>
      </c>
      <c r="C6" s="12">
        <f>'[1]NEWTON=3.5'!F8</f>
        <v>3.7256021764726639</v>
      </c>
      <c r="D6" s="15">
        <f>'[1]NEWTON=3.5'!G8</f>
        <v>2.1805095506977068E-9</v>
      </c>
    </row>
    <row r="7" spans="2:4" x14ac:dyDescent="0.25">
      <c r="B7" s="3" t="s">
        <v>12</v>
      </c>
      <c r="C7" s="12">
        <f>COUNTIF('[1]NEWTON=3.5'!H5:H7,"→")+1</f>
        <v>4</v>
      </c>
      <c r="D7" s="12"/>
    </row>
  </sheetData>
  <mergeCells count="2">
    <mergeCell ref="B3:D3"/>
    <mergeCell ref="B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1AE3-09C6-4E92-986E-71E45E9A9133}">
  <dimension ref="B3:I9"/>
  <sheetViews>
    <sheetView workbookViewId="0">
      <selection activeCell="L10" sqref="L10"/>
    </sheetView>
  </sheetViews>
  <sheetFormatPr baseColWidth="10" defaultRowHeight="15" x14ac:dyDescent="0.25"/>
  <cols>
    <col min="2" max="2" width="15.7109375" customWidth="1"/>
    <col min="9" max="9" width="16.42578125" customWidth="1"/>
  </cols>
  <sheetData>
    <row r="3" spans="2:9" ht="20.25" customHeight="1" x14ac:dyDescent="0.25">
      <c r="B3" s="2" t="s">
        <v>15</v>
      </c>
      <c r="C3" s="2"/>
      <c r="D3" s="2"/>
      <c r="E3" s="2"/>
      <c r="F3" s="2"/>
      <c r="G3" s="2"/>
      <c r="H3" s="2"/>
      <c r="I3" s="2"/>
    </row>
    <row r="4" spans="2:9" ht="19.5" customHeight="1" x14ac:dyDescent="0.25">
      <c r="B4" s="3" t="s">
        <v>23</v>
      </c>
      <c r="C4" s="3" t="s">
        <v>32</v>
      </c>
      <c r="D4" s="3" t="s">
        <v>26</v>
      </c>
      <c r="E4" s="3" t="s">
        <v>33</v>
      </c>
      <c r="F4" s="3" t="s">
        <v>27</v>
      </c>
      <c r="G4" s="3" t="s">
        <v>29</v>
      </c>
      <c r="H4" s="3" t="s">
        <v>9</v>
      </c>
      <c r="I4" s="3" t="s">
        <v>22</v>
      </c>
    </row>
    <row r="5" spans="2:9" x14ac:dyDescent="0.25">
      <c r="B5" s="3">
        <v>1</v>
      </c>
      <c r="C5" s="9">
        <v>3</v>
      </c>
      <c r="D5" s="9">
        <v>4</v>
      </c>
      <c r="E5" s="9">
        <f>(COS(C5))^2 - 0.5*C5*EXP(0.3*C5) + 5</f>
        <v>2.2906804765897588</v>
      </c>
      <c r="F5" s="9">
        <f>(COS(D5))^2 - 0.5*D5*EXP(0.3*D5) + 5</f>
        <v>-1.212983862377401</v>
      </c>
      <c r="G5" s="9">
        <f>D5 - F5*(D5-C5)/(F5-E5)</f>
        <v>3.6537956422118407</v>
      </c>
      <c r="H5" s="8">
        <f>ABS(G5-D5)</f>
        <v>0.34620435778815928</v>
      </c>
      <c r="I5" s="7" t="str">
        <f>IF(OR(ABS(G5)&lt;=[1]CONFIG!$C$7,H5&lt;=[1]CONFIG!$C$7),"Si","No")</f>
        <v>No</v>
      </c>
    </row>
    <row r="6" spans="2:9" x14ac:dyDescent="0.25">
      <c r="B6" s="3">
        <f>B5+1</f>
        <v>2</v>
      </c>
      <c r="C6" s="9">
        <f>D5</f>
        <v>4</v>
      </c>
      <c r="D6" s="9">
        <f>G5</f>
        <v>3.6537956422118407</v>
      </c>
      <c r="E6" s="9">
        <f>F5</f>
        <v>-1.212983862377401</v>
      </c>
      <c r="F6" s="9">
        <f>(COS(D6))^2 - 0.5*D6*EXP(0.3*D6) + 5</f>
        <v>0.29265006210311029</v>
      </c>
      <c r="G6" s="9">
        <f>D6 - F6*(D6-C6)/(F6-E6)</f>
        <v>3.7210873823617776</v>
      </c>
      <c r="H6" s="8">
        <f>ABS(G6-D6)</f>
        <v>6.7291740149936885E-2</v>
      </c>
      <c r="I6" s="7" t="str">
        <f>IF(OR(ABS(G6)&lt;=[1]CONFIG!$C$7,H6&lt;=[1]CONFIG!$C$7),"✓","→")</f>
        <v>→</v>
      </c>
    </row>
    <row r="7" spans="2:9" x14ac:dyDescent="0.25">
      <c r="B7" s="3">
        <f>B6+1</f>
        <v>3</v>
      </c>
      <c r="C7" s="9">
        <f>D6</f>
        <v>3.6537956422118407</v>
      </c>
      <c r="D7" s="9">
        <f>G6</f>
        <v>3.7210873823617776</v>
      </c>
      <c r="E7" s="9">
        <f>F6</f>
        <v>0.29265006210311029</v>
      </c>
      <c r="F7" s="9">
        <f>(COS(D7))^2 - 0.5*D7*EXP(0.3*D7) + 5</f>
        <v>1.8748318639778994E-2</v>
      </c>
      <c r="G7" s="9">
        <f>D7 - F7*(D7-C7)/(F7-E7)</f>
        <v>3.7256934391550054</v>
      </c>
      <c r="H7" s="8">
        <f>ABS(G7-D7)</f>
        <v>4.6060567932277863E-3</v>
      </c>
      <c r="I7" s="7" t="str">
        <f>IF(OR(ABS(G7)&lt;=[1]CONFIG!$C$7,H7&lt;=[1]CONFIG!$C$7),"✓","→")</f>
        <v>→</v>
      </c>
    </row>
    <row r="8" spans="2:9" x14ac:dyDescent="0.25">
      <c r="B8" s="3">
        <f>B7+1</f>
        <v>4</v>
      </c>
      <c r="C8" s="9">
        <f>D7</f>
        <v>3.7210873823617776</v>
      </c>
      <c r="D8" s="9">
        <f>G7</f>
        <v>3.7256934391550054</v>
      </c>
      <c r="E8" s="9">
        <f>F7</f>
        <v>1.8748318639778994E-2</v>
      </c>
      <c r="F8" s="9">
        <f>(COS(D8))^2 - 0.5*D8*EXP(0.3*D8) + 5</f>
        <v>-3.794474321878738E-4</v>
      </c>
      <c r="G8" s="9">
        <f>D8 - F8*(D8-C8)/(F8-E8)</f>
        <v>3.7256020664136131</v>
      </c>
      <c r="H8" s="8">
        <f>ABS(G8-D8)</f>
        <v>9.1372741392259371E-5</v>
      </c>
      <c r="I8" s="7" t="str">
        <f>IF(OR(ABS(G8)&lt;=[1]CONFIG!$C$7,H8&lt;=[1]CONFIG!$C$7),"✓","→")</f>
        <v>→</v>
      </c>
    </row>
    <row r="9" spans="2:9" x14ac:dyDescent="0.25">
      <c r="B9" s="3">
        <f>B8+1</f>
        <v>5</v>
      </c>
      <c r="C9" s="9">
        <f>D8</f>
        <v>3.7256934391550054</v>
      </c>
      <c r="D9" s="9">
        <f>G8</f>
        <v>3.7256020664136131</v>
      </c>
      <c r="E9" s="9">
        <f>F8</f>
        <v>-3.794474321878738E-4</v>
      </c>
      <c r="F9" s="9">
        <f>(COS(D9))^2 - 0.5*D9*EXP(0.3*D9) + 5</f>
        <v>4.5758690347952324E-7</v>
      </c>
      <c r="G9" s="9">
        <f>D9 - F9*(D9-C9)/(F9-E9)</f>
        <v>3.7256021764699896</v>
      </c>
      <c r="H9" s="8">
        <f>ABS(G9-D9)</f>
        <v>1.1005637645666866E-7</v>
      </c>
      <c r="I9" s="7" t="str">
        <f>IF(OR(ABS(G9)&lt;=[1]CONFIG!$C$7,H9&lt;=[1]CONFIG!$C$7),"✓","→")</f>
        <v>✓</v>
      </c>
    </row>
  </sheetData>
  <mergeCells count="1">
    <mergeCell ref="B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368F-3A79-4919-8049-91DC178C5DF9}">
  <dimension ref="B3:D7"/>
  <sheetViews>
    <sheetView workbookViewId="0">
      <selection activeCell="F8" sqref="F8"/>
    </sheetView>
  </sheetViews>
  <sheetFormatPr baseColWidth="10" defaultRowHeight="15" x14ac:dyDescent="0.25"/>
  <cols>
    <col min="2" max="2" width="14.140625" customWidth="1"/>
  </cols>
  <sheetData>
    <row r="3" spans="2:4" x14ac:dyDescent="0.25">
      <c r="B3" s="2" t="s">
        <v>34</v>
      </c>
      <c r="C3" s="2"/>
      <c r="D3" s="2"/>
    </row>
    <row r="4" spans="2:4" x14ac:dyDescent="0.25">
      <c r="B4" s="10"/>
      <c r="C4" s="10"/>
      <c r="D4" s="10"/>
    </row>
    <row r="5" spans="2:4" x14ac:dyDescent="0.25">
      <c r="B5" s="10"/>
      <c r="C5" s="10"/>
      <c r="D5" s="10"/>
    </row>
    <row r="6" spans="2:4" x14ac:dyDescent="0.25">
      <c r="B6" s="11" t="s">
        <v>11</v>
      </c>
      <c r="C6" s="12">
        <f>'[1]SEC=3.0,4.0'!D9</f>
        <v>3.7256020664136131</v>
      </c>
      <c r="D6" s="15">
        <f>'[1]SEC=3.0,4.0'!H9</f>
        <v>1.1005637645666866E-7</v>
      </c>
    </row>
    <row r="7" spans="2:4" x14ac:dyDescent="0.25">
      <c r="B7" s="11" t="s">
        <v>12</v>
      </c>
      <c r="C7" s="12">
        <f>COUNTIF('[1]SEC=3.0,4.0'!I5:I9,"→")+1</f>
        <v>5</v>
      </c>
      <c r="D7" s="12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Bisección</vt:lpstr>
      <vt:lpstr>Soluciones Bisección</vt:lpstr>
      <vt:lpstr>Newton</vt:lpstr>
      <vt:lpstr>Soluciones Newton</vt:lpstr>
      <vt:lpstr>Secante</vt:lpstr>
      <vt:lpstr>Soluciones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Espinoza</dc:creator>
  <cp:lastModifiedBy>Maximiliano Espinoza</cp:lastModifiedBy>
  <dcterms:created xsi:type="dcterms:W3CDTF">2025-12-01T03:32:54Z</dcterms:created>
  <dcterms:modified xsi:type="dcterms:W3CDTF">2025-12-01T03:40:11Z</dcterms:modified>
</cp:coreProperties>
</file>
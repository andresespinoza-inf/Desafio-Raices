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2B85A41FBAAF1C/Documentos/metodos numericos/ejercicios raices/"/>
    </mc:Choice>
  </mc:AlternateContent>
  <xr:revisionPtr revIDLastSave="0" documentId="8_{840038AF-6465-4743-A5F5-1388183B27CD}" xr6:coauthVersionLast="47" xr6:coauthVersionMax="47" xr10:uidLastSave="{00000000-0000-0000-0000-000000000000}"/>
  <bookViews>
    <workbookView xWindow="-120" yWindow="-120" windowWidth="29040" windowHeight="15720" xr2:uid="{B1CD1834-843A-4D98-B3DA-5B4FEDB50BBA}"/>
  </bookViews>
  <sheets>
    <sheet name="Resumen" sheetId="1" r:id="rId1"/>
    <sheet name="Raiz" sheetId="2" r:id="rId2"/>
    <sheet name="Soluciones raiz" sheetId="3" r:id="rId3"/>
    <sheet name="Newton" sheetId="4" r:id="rId4"/>
    <sheet name="Soluciones Newton" sheetId="5" r:id="rId5"/>
    <sheet name="Secante" sheetId="6" r:id="rId6"/>
    <sheet name="Soluciones Secante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7" l="1"/>
  <c r="D6" i="7"/>
  <c r="C6" i="7"/>
  <c r="I6" i="6"/>
  <c r="I7" i="6"/>
  <c r="I8" i="6"/>
  <c r="I5" i="6"/>
  <c r="C6" i="6"/>
  <c r="B6" i="6"/>
  <c r="B7" i="6" s="1"/>
  <c r="B8" i="6" s="1"/>
  <c r="F5" i="6"/>
  <c r="G5" i="6" s="1"/>
  <c r="E5" i="6"/>
  <c r="C7" i="5"/>
  <c r="D6" i="5"/>
  <c r="C6" i="5"/>
  <c r="H6" i="4"/>
  <c r="H7" i="4"/>
  <c r="H5" i="4"/>
  <c r="B7" i="4"/>
  <c r="B6" i="4"/>
  <c r="E5" i="4"/>
  <c r="D5" i="4"/>
  <c r="C7" i="3"/>
  <c r="D6" i="3"/>
  <c r="C6" i="3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5" i="2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7" i="2"/>
  <c r="B6" i="2"/>
  <c r="H5" i="2"/>
  <c r="F5" i="2"/>
  <c r="E5" i="2"/>
  <c r="G5" i="2" s="1"/>
  <c r="C23" i="1"/>
  <c r="D22" i="1"/>
  <c r="C22" i="1"/>
  <c r="C19" i="1"/>
  <c r="D18" i="1"/>
  <c r="C18" i="1"/>
  <c r="C15" i="1"/>
  <c r="D14" i="1"/>
  <c r="C14" i="1"/>
  <c r="H5" i="6" l="1"/>
  <c r="D6" i="6"/>
  <c r="E6" i="6"/>
  <c r="F5" i="4"/>
  <c r="D6" i="2"/>
  <c r="C6" i="2"/>
  <c r="C7" i="6" l="1"/>
  <c r="F6" i="6"/>
  <c r="E7" i="6" s="1"/>
  <c r="C6" i="4"/>
  <c r="G5" i="4"/>
  <c r="E6" i="2"/>
  <c r="G6" i="2" s="1"/>
  <c r="F6" i="2"/>
  <c r="H6" i="2"/>
  <c r="G6" i="6" l="1"/>
  <c r="E6" i="4"/>
  <c r="D6" i="4"/>
  <c r="D7" i="2"/>
  <c r="C7" i="2"/>
  <c r="D7" i="6" l="1"/>
  <c r="H6" i="6"/>
  <c r="F6" i="4"/>
  <c r="F7" i="2"/>
  <c r="E7" i="2"/>
  <c r="G7" i="2" s="1"/>
  <c r="H7" i="2"/>
  <c r="C8" i="6" l="1"/>
  <c r="F7" i="6"/>
  <c r="E8" i="6" s="1"/>
  <c r="C7" i="4"/>
  <c r="G6" i="4"/>
  <c r="D8" i="2"/>
  <c r="C8" i="2"/>
  <c r="G7" i="6" l="1"/>
  <c r="E7" i="4"/>
  <c r="D7" i="4"/>
  <c r="H8" i="2"/>
  <c r="F8" i="2"/>
  <c r="E8" i="2"/>
  <c r="G8" i="2" s="1"/>
  <c r="D8" i="6" l="1"/>
  <c r="H7" i="6"/>
  <c r="F7" i="4"/>
  <c r="G7" i="4" s="1"/>
  <c r="D9" i="2"/>
  <c r="H9" i="2" s="1"/>
  <c r="C9" i="2"/>
  <c r="F8" i="6" l="1"/>
  <c r="G8" i="6" s="1"/>
  <c r="E9" i="2"/>
  <c r="G9" i="2" s="1"/>
  <c r="F9" i="2"/>
  <c r="H8" i="6" l="1"/>
  <c r="D10" i="2"/>
  <c r="C10" i="2"/>
  <c r="F10" i="2" l="1"/>
  <c r="E10" i="2"/>
  <c r="G10" i="2" s="1"/>
  <c r="H10" i="2"/>
  <c r="D11" i="2" l="1"/>
  <c r="H11" i="2" s="1"/>
  <c r="C11" i="2"/>
  <c r="E11" i="2" l="1"/>
  <c r="G11" i="2" s="1"/>
  <c r="F11" i="2"/>
  <c r="D12" i="2" l="1"/>
  <c r="H12" i="2" s="1"/>
  <c r="C12" i="2"/>
  <c r="E12" i="2" l="1"/>
  <c r="G12" i="2" s="1"/>
  <c r="F12" i="2"/>
  <c r="D13" i="2" l="1"/>
  <c r="H13" i="2" s="1"/>
  <c r="C13" i="2"/>
  <c r="F13" i="2" l="1"/>
  <c r="E13" i="2"/>
  <c r="G13" i="2" s="1"/>
  <c r="D14" i="2" l="1"/>
  <c r="C14" i="2"/>
  <c r="F14" i="2" l="1"/>
  <c r="E14" i="2"/>
  <c r="G14" i="2" s="1"/>
  <c r="H14" i="2"/>
  <c r="D15" i="2" l="1"/>
  <c r="H15" i="2" s="1"/>
  <c r="C15" i="2"/>
  <c r="E15" i="2" l="1"/>
  <c r="G15" i="2" s="1"/>
  <c r="F15" i="2"/>
  <c r="C16" i="2" l="1"/>
  <c r="D16" i="2"/>
  <c r="H16" i="2" s="1"/>
  <c r="F16" i="2" l="1"/>
  <c r="E16" i="2"/>
  <c r="G16" i="2" s="1"/>
  <c r="D17" i="2" l="1"/>
  <c r="C17" i="2"/>
  <c r="E17" i="2" l="1"/>
  <c r="G17" i="2" s="1"/>
  <c r="F17" i="2"/>
  <c r="H17" i="2"/>
  <c r="D18" i="2" l="1"/>
  <c r="C18" i="2"/>
  <c r="E18" i="2" l="1"/>
  <c r="G18" i="2" s="1"/>
  <c r="F18" i="2"/>
  <c r="H18" i="2"/>
  <c r="D19" i="2" l="1"/>
  <c r="C19" i="2"/>
  <c r="E19" i="2" l="1"/>
  <c r="G19" i="2" s="1"/>
  <c r="F19" i="2"/>
  <c r="H19" i="2"/>
  <c r="C20" i="2" l="1"/>
  <c r="D20" i="2"/>
  <c r="H20" i="2" s="1"/>
  <c r="E20" i="2" l="1"/>
  <c r="G20" i="2" s="1"/>
  <c r="F20" i="2"/>
  <c r="D21" i="2" l="1"/>
  <c r="H21" i="2" s="1"/>
  <c r="C21" i="2"/>
  <c r="E21" i="2" l="1"/>
  <c r="G21" i="2" s="1"/>
  <c r="F21" i="2"/>
  <c r="D22" i="2" l="1"/>
  <c r="H22" i="2" s="1"/>
  <c r="C22" i="2"/>
  <c r="F22" i="2" l="1"/>
  <c r="E22" i="2"/>
  <c r="G22" i="2" s="1"/>
  <c r="C23" i="2" l="1"/>
  <c r="D23" i="2"/>
  <c r="H23" i="2" l="1"/>
  <c r="E23" i="2"/>
  <c r="G23" i="2" s="1"/>
  <c r="F23" i="2"/>
  <c r="D24" i="2" l="1"/>
  <c r="C24" i="2"/>
  <c r="E24" i="2" l="1"/>
  <c r="G24" i="2" s="1"/>
  <c r="F24" i="2"/>
  <c r="H24" i="2"/>
  <c r="D25" i="2" l="1"/>
  <c r="C25" i="2"/>
  <c r="F25" i="2" l="1"/>
  <c r="E25" i="2"/>
  <c r="G25" i="2" s="1"/>
  <c r="H25" i="2"/>
</calcChain>
</file>

<file path=xl/sharedStrings.xml><?xml version="1.0" encoding="utf-8"?>
<sst xmlns="http://schemas.openxmlformats.org/spreadsheetml/2006/main" count="57" uniqueCount="34">
  <si>
    <t>MÉTODO DE NEWTON RAPHSON - PROBLEMA 2</t>
  </si>
  <si>
    <t>Ecuación: 3sin(0.5x) - 0.5x + 2 = 0</t>
  </si>
  <si>
    <t>PARÁMETROS:</t>
  </si>
  <si>
    <t>Tolerancia (TOL):</t>
  </si>
  <si>
    <t>Máx iteraciones:</t>
  </si>
  <si>
    <t>Función f(x):</t>
  </si>
  <si>
    <t>"=3*SENO(0.5*x) - 0.5*x + 2"</t>
  </si>
  <si>
    <t>RESULTADOS FINALES</t>
  </si>
  <si>
    <t>Raíz</t>
  </si>
  <si>
    <t>Error</t>
  </si>
  <si>
    <t>METODO DE LA BISCECCIÓN</t>
  </si>
  <si>
    <t>RAÍZ :</t>
  </si>
  <si>
    <t>Iteraciones:</t>
  </si>
  <si>
    <t>MÉTODO NEWTON RAPHSON</t>
  </si>
  <si>
    <t>NEWTON x₀=3.5</t>
  </si>
  <si>
    <t>MÉTODO DE LA SECANTE</t>
  </si>
  <si>
    <t>RAÍZ 1:</t>
  </si>
  <si>
    <t>MÉTODO DE LA BISECCIÓN</t>
  </si>
  <si>
    <t>ITER</t>
  </si>
  <si>
    <t>a</t>
  </si>
  <si>
    <t>b</t>
  </si>
  <si>
    <t>c</t>
  </si>
  <si>
    <t>f(a)</t>
  </si>
  <si>
    <t>f(c)</t>
  </si>
  <si>
    <t>¿se debe parar?</t>
  </si>
  <si>
    <t>ITERACIONES</t>
  </si>
  <si>
    <t>RESULTADOS PROBLEMA 2</t>
  </si>
  <si>
    <t>MÉTODO DE BISCECCIÓN</t>
  </si>
  <si>
    <t>x_n</t>
  </si>
  <si>
    <t>f(x_n)</t>
  </si>
  <si>
    <t>f'(x_n)</t>
  </si>
  <si>
    <t>x_n+1</t>
  </si>
  <si>
    <t>x_n-1</t>
  </si>
  <si>
    <t>f(x_n-1)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</si>
</sst>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1" fontId="2" fillId="0" borderId="1" xfId="0" applyNumberFormat="1" applyFont="1" applyBorder="1" applyAlignment="1">
      <alignment horizontal="left" vertical="center" indent="1"/>
    </xf>
    <xf numFmtId="11" fontId="2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92b85a41fbaaf1c/Documentos/metodos%20numericos/raices/M&#201;TODO_DE_RAICES/PROBLEMA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RAÍZ"/>
      <sheetName val="RESULTADOS"/>
      <sheetName val="NEWTON=5.5"/>
      <sheetName val="RESULTADOS (2)"/>
      <sheetName val="SEC=5.0,6.0"/>
      <sheetName val="RESULTADOS (3)"/>
    </sheetNames>
    <sheetDataSet>
      <sheetData sheetId="0">
        <row r="7">
          <cell r="C7">
            <v>9.9999999999999995E-7</v>
          </cell>
        </row>
      </sheetData>
      <sheetData sheetId="1">
        <row r="4">
          <cell r="I4" t="str">
            <v>¿Parar?</v>
          </cell>
        </row>
        <row r="5">
          <cell r="I5" t="str">
            <v>→</v>
          </cell>
        </row>
        <row r="6">
          <cell r="I6" t="str">
            <v>→</v>
          </cell>
        </row>
        <row r="7">
          <cell r="I7" t="str">
            <v>→</v>
          </cell>
        </row>
        <row r="8">
          <cell r="I8" t="str">
            <v>→</v>
          </cell>
        </row>
        <row r="9">
          <cell r="I9" t="str">
            <v>→</v>
          </cell>
        </row>
        <row r="10">
          <cell r="I10" t="str">
            <v>→</v>
          </cell>
        </row>
        <row r="11">
          <cell r="I11" t="str">
            <v>→</v>
          </cell>
        </row>
        <row r="12">
          <cell r="I12" t="str">
            <v>→</v>
          </cell>
        </row>
        <row r="13">
          <cell r="I13" t="str">
            <v>→</v>
          </cell>
        </row>
        <row r="14">
          <cell r="I14" t="str">
            <v>→</v>
          </cell>
        </row>
        <row r="15">
          <cell r="I15" t="str">
            <v>→</v>
          </cell>
        </row>
        <row r="16">
          <cell r="I16" t="str">
            <v>→</v>
          </cell>
        </row>
        <row r="17">
          <cell r="I17" t="str">
            <v>→</v>
          </cell>
        </row>
        <row r="18">
          <cell r="I18" t="str">
            <v>→</v>
          </cell>
        </row>
        <row r="19">
          <cell r="I19" t="str">
            <v>→</v>
          </cell>
        </row>
        <row r="20">
          <cell r="I20" t="str">
            <v>→</v>
          </cell>
        </row>
        <row r="21">
          <cell r="I21" t="str">
            <v>→</v>
          </cell>
        </row>
        <row r="22">
          <cell r="I22" t="str">
            <v>→</v>
          </cell>
        </row>
        <row r="23">
          <cell r="I23" t="str">
            <v>→</v>
          </cell>
        </row>
        <row r="24">
          <cell r="E24">
            <v>5.7064180374145508</v>
          </cell>
          <cell r="G24">
            <v>-7.7926163744024279E-8</v>
          </cell>
          <cell r="I24" t="str">
            <v>✓</v>
          </cell>
        </row>
        <row r="25">
          <cell r="I25" t="str">
            <v>✓</v>
          </cell>
        </row>
      </sheetData>
      <sheetData sheetId="2" refreshError="1"/>
      <sheetData sheetId="3">
        <row r="4">
          <cell r="H4" t="str">
            <v>¿Parar?</v>
          </cell>
        </row>
        <row r="5">
          <cell r="H5" t="str">
            <v>→</v>
          </cell>
        </row>
        <row r="6">
          <cell r="H6" t="str">
            <v>→</v>
          </cell>
        </row>
        <row r="7">
          <cell r="F7">
            <v>5.7064179972061719</v>
          </cell>
          <cell r="G7">
            <v>4.8058010992946265E-7</v>
          </cell>
          <cell r="H7" t="str">
            <v>✓</v>
          </cell>
        </row>
      </sheetData>
      <sheetData sheetId="4" refreshError="1"/>
      <sheetData sheetId="5">
        <row r="4">
          <cell r="I4" t="str">
            <v>¿Parar?</v>
          </cell>
        </row>
        <row r="5">
          <cell r="I5" t="str">
            <v>→</v>
          </cell>
        </row>
        <row r="6">
          <cell r="I6" t="str">
            <v>→</v>
          </cell>
        </row>
        <row r="7">
          <cell r="I7" t="str">
            <v>→</v>
          </cell>
        </row>
        <row r="8">
          <cell r="D8">
            <v>5.7064181527107776</v>
          </cell>
          <cell r="H8">
            <v>1.5550627807670026E-7</v>
          </cell>
          <cell r="I8" t="str">
            <v>✓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5D0F-96F0-47C8-9584-9E29E2FABD29}">
  <dimension ref="B3:E23"/>
  <sheetViews>
    <sheetView tabSelected="1" workbookViewId="0">
      <selection activeCell="H18" sqref="H18"/>
    </sheetView>
  </sheetViews>
  <sheetFormatPr baseColWidth="10" defaultRowHeight="15" x14ac:dyDescent="0.25"/>
  <cols>
    <col min="2" max="2" width="20.7109375" customWidth="1"/>
    <col min="3" max="3" width="15.7109375" customWidth="1"/>
    <col min="4" max="4" width="16.42578125" customWidth="1"/>
  </cols>
  <sheetData>
    <row r="3" spans="2:5" x14ac:dyDescent="0.25">
      <c r="B3" s="3" t="s">
        <v>0</v>
      </c>
      <c r="C3" s="3"/>
      <c r="D3" s="3"/>
      <c r="E3" s="3"/>
    </row>
    <row r="4" spans="2:5" x14ac:dyDescent="0.25">
      <c r="B4" s="3" t="s">
        <v>1</v>
      </c>
      <c r="C4" s="3"/>
      <c r="D4" s="3"/>
      <c r="E4" s="3"/>
    </row>
    <row r="5" spans="2:5" x14ac:dyDescent="0.25">
      <c r="B5" s="1"/>
      <c r="C5" s="1"/>
      <c r="D5" s="1"/>
      <c r="E5" s="1"/>
    </row>
    <row r="6" spans="2:5" x14ac:dyDescent="0.25">
      <c r="B6" s="3" t="s">
        <v>2</v>
      </c>
      <c r="C6" s="3"/>
      <c r="D6" s="3"/>
      <c r="E6" s="1"/>
    </row>
    <row r="7" spans="2:5" x14ac:dyDescent="0.25">
      <c r="B7" s="4" t="s">
        <v>3</v>
      </c>
      <c r="C7" s="5">
        <v>9.9999999999999995E-7</v>
      </c>
      <c r="D7" s="6"/>
      <c r="E7" s="1"/>
    </row>
    <row r="8" spans="2:5" x14ac:dyDescent="0.25">
      <c r="B8" s="4" t="s">
        <v>4</v>
      </c>
      <c r="C8" s="5">
        <v>20</v>
      </c>
      <c r="D8" s="6"/>
      <c r="E8" s="1"/>
    </row>
    <row r="9" spans="2:5" x14ac:dyDescent="0.25">
      <c r="B9" s="6" t="s">
        <v>5</v>
      </c>
      <c r="C9" s="7" t="s">
        <v>6</v>
      </c>
      <c r="D9" s="7"/>
      <c r="E9" s="1"/>
    </row>
    <row r="10" spans="2:5" x14ac:dyDescent="0.25">
      <c r="B10" s="1"/>
      <c r="C10" s="1"/>
      <c r="D10" s="1"/>
      <c r="E10" s="1"/>
    </row>
    <row r="11" spans="2:5" x14ac:dyDescent="0.25">
      <c r="B11" s="16" t="s">
        <v>7</v>
      </c>
      <c r="C11" s="16"/>
      <c r="D11" s="16"/>
      <c r="E11" s="1"/>
    </row>
    <row r="12" spans="2:5" x14ac:dyDescent="0.25">
      <c r="B12" s="5"/>
      <c r="C12" s="5" t="s">
        <v>8</v>
      </c>
      <c r="D12" s="5" t="s">
        <v>9</v>
      </c>
      <c r="E12" s="1"/>
    </row>
    <row r="13" spans="2:5" x14ac:dyDescent="0.25">
      <c r="B13" s="3" t="s">
        <v>10</v>
      </c>
      <c r="C13" s="3"/>
      <c r="D13" s="3"/>
      <c r="E13" s="1"/>
    </row>
    <row r="14" spans="2:5" x14ac:dyDescent="0.25">
      <c r="B14" s="8" t="s">
        <v>11</v>
      </c>
      <c r="C14" s="9">
        <f>[1]RAÍZ!E24</f>
        <v>5.7064180374145508</v>
      </c>
      <c r="D14" s="9">
        <f>[1]RAÍZ!G24</f>
        <v>-7.7926163744024279E-8</v>
      </c>
      <c r="E14" s="1"/>
    </row>
    <row r="15" spans="2:5" x14ac:dyDescent="0.25">
      <c r="B15" s="8" t="s">
        <v>12</v>
      </c>
      <c r="C15" s="9">
        <f>COUNTIF([1]RAÍZ!I4:I32,"→")+1</f>
        <v>20</v>
      </c>
      <c r="D15" s="9"/>
    </row>
    <row r="17" spans="2:4" x14ac:dyDescent="0.25">
      <c r="B17" s="3" t="s">
        <v>13</v>
      </c>
      <c r="C17" s="3"/>
      <c r="D17" s="3"/>
    </row>
    <row r="18" spans="2:4" x14ac:dyDescent="0.25">
      <c r="B18" s="8" t="s">
        <v>14</v>
      </c>
      <c r="C18" s="9">
        <f>'[1]NEWTON=5.5'!F7</f>
        <v>5.7064179972061719</v>
      </c>
      <c r="D18" s="10">
        <f>'[1]NEWTON=5.5'!G7</f>
        <v>4.8058010992946265E-7</v>
      </c>
    </row>
    <row r="19" spans="2:4" x14ac:dyDescent="0.25">
      <c r="B19" s="4" t="s">
        <v>12</v>
      </c>
      <c r="C19" s="9">
        <f>COUNTIF('[1]NEWTON=5.5'!H4:H32,"→")+1</f>
        <v>3</v>
      </c>
      <c r="D19" s="9"/>
    </row>
    <row r="21" spans="2:4" x14ac:dyDescent="0.25">
      <c r="B21" s="3" t="s">
        <v>15</v>
      </c>
      <c r="C21" s="3"/>
      <c r="D21" s="3"/>
    </row>
    <row r="22" spans="2:4" x14ac:dyDescent="0.25">
      <c r="B22" s="8" t="s">
        <v>16</v>
      </c>
      <c r="C22" s="9">
        <f>'[1]SEC=5.0,6.0'!D8</f>
        <v>5.7064181527107776</v>
      </c>
      <c r="D22" s="10">
        <f>'[1]SEC=5.0,6.0'!H8</f>
        <v>1.5550627807670026E-7</v>
      </c>
    </row>
    <row r="23" spans="2:4" x14ac:dyDescent="0.25">
      <c r="B23" s="8" t="s">
        <v>12</v>
      </c>
      <c r="C23" s="9">
        <f>COUNTIF('[1]SEC=5.0,6.0'!I4:I24,"→")+1</f>
        <v>4</v>
      </c>
      <c r="D23" s="9"/>
    </row>
  </sheetData>
  <mergeCells count="8">
    <mergeCell ref="B17:D17"/>
    <mergeCell ref="B21:D21"/>
    <mergeCell ref="B3:E3"/>
    <mergeCell ref="B4:E4"/>
    <mergeCell ref="B6:D6"/>
    <mergeCell ref="C9:D9"/>
    <mergeCell ref="B11:D11"/>
    <mergeCell ref="B13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CB37-9CB0-4238-A40E-8DD1BA6EADBD}">
  <dimension ref="B3:I25"/>
  <sheetViews>
    <sheetView workbookViewId="0">
      <selection activeCell="M15" sqref="M15"/>
    </sheetView>
  </sheetViews>
  <sheetFormatPr baseColWidth="10" defaultRowHeight="15" x14ac:dyDescent="0.25"/>
  <cols>
    <col min="2" max="2" width="15.5703125" customWidth="1"/>
    <col min="9" max="9" width="17.140625" customWidth="1"/>
  </cols>
  <sheetData>
    <row r="3" spans="2:9" x14ac:dyDescent="0.25">
      <c r="B3" s="11" t="s">
        <v>17</v>
      </c>
      <c r="C3" s="11"/>
      <c r="D3" s="11"/>
      <c r="E3" s="11"/>
      <c r="F3" s="11"/>
      <c r="G3" s="11"/>
      <c r="H3" s="11"/>
      <c r="I3" s="11"/>
    </row>
    <row r="4" spans="2:9" x14ac:dyDescent="0.25">
      <c r="B4" s="4" t="s">
        <v>25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9</v>
      </c>
      <c r="I4" s="4" t="s">
        <v>24</v>
      </c>
    </row>
    <row r="5" spans="2:9" x14ac:dyDescent="0.25">
      <c r="B5" s="4">
        <v>1</v>
      </c>
      <c r="C5" s="12">
        <v>5</v>
      </c>
      <c r="D5" s="12">
        <v>6</v>
      </c>
      <c r="E5" s="12">
        <f>(C5+D5)/2</f>
        <v>5.5</v>
      </c>
      <c r="F5" s="12">
        <f>3*SIN(0.5*C5) - 0.5*C5 + 2</f>
        <v>1.2954164323118698</v>
      </c>
      <c r="G5" s="12">
        <f>3*SIN(0.5*E5) - 0.5*E5 + 2</f>
        <v>0.39498297615699496</v>
      </c>
      <c r="H5" s="12">
        <f>ABS(D5-C5)/2</f>
        <v>0.5</v>
      </c>
      <c r="I5" s="13" t="str">
        <f>IF(OR(ABS(G5)&lt;[1]CONFIG!$C$7,H5&lt;[1]CONFIG!$C$7),"Si","No")</f>
        <v>No</v>
      </c>
    </row>
    <row r="6" spans="2:9" x14ac:dyDescent="0.25">
      <c r="B6" s="4">
        <f>B5+1</f>
        <v>2</v>
      </c>
      <c r="C6" s="12">
        <f>IF(F5*G5&lt;0,C5,E5)</f>
        <v>5.5</v>
      </c>
      <c r="D6" s="12">
        <f>IF(F5*G5&lt;0,E5,D5)</f>
        <v>6</v>
      </c>
      <c r="E6" s="12">
        <f>(C6+D6)/2</f>
        <v>5.75</v>
      </c>
      <c r="F6" s="12">
        <f>3*SIN(0.5*C6) - 0.5*C6 + 2</f>
        <v>0.39498297615699496</v>
      </c>
      <c r="G6" s="12">
        <f>3*SIN(0.5*E6) - 0.5*E6 + 2</f>
        <v>-8.4662019909737651E-2</v>
      </c>
      <c r="H6" s="12">
        <f>ABS(D6-C6)/2</f>
        <v>0.25</v>
      </c>
      <c r="I6" s="13" t="str">
        <f>IF(OR(ABS(G6)&lt;[1]CONFIG!$C$7,H6&lt;[1]CONFIG!$C$7),"Si","No")</f>
        <v>No</v>
      </c>
    </row>
    <row r="7" spans="2:9" x14ac:dyDescent="0.25">
      <c r="B7" s="4">
        <f t="shared" ref="B7:B25" si="0">B6+1</f>
        <v>3</v>
      </c>
      <c r="C7" s="12">
        <f t="shared" ref="C7:C25" si="1">IF(F6*G6&lt;0,C6,E6)</f>
        <v>5.5</v>
      </c>
      <c r="D7" s="12">
        <f t="shared" ref="D7:D25" si="2">IF(F6*G6&lt;0,E6,D6)</f>
        <v>5.75</v>
      </c>
      <c r="E7" s="12">
        <f t="shared" ref="E7:E25" si="3">(C7+D7)/2</f>
        <v>5.625</v>
      </c>
      <c r="F7" s="12">
        <f t="shared" ref="F7:F25" si="4">3*SIN(0.5*C7) - 0.5*C7 + 2</f>
        <v>0.39498297615699496</v>
      </c>
      <c r="G7" s="12">
        <f t="shared" ref="G7:G25" si="5">3*SIN(0.5*E7) - 0.5*E7 + 2</f>
        <v>0.15705352099906067</v>
      </c>
      <c r="H7" s="12">
        <f t="shared" ref="H7:H25" si="6">ABS(D7-C7)/2</f>
        <v>0.125</v>
      </c>
      <c r="I7" s="13" t="str">
        <f>IF(OR(ABS(G7)&lt;[1]CONFIG!$C$7,H7&lt;[1]CONFIG!$C$7),"Si","No")</f>
        <v>No</v>
      </c>
    </row>
    <row r="8" spans="2:9" x14ac:dyDescent="0.25">
      <c r="B8" s="4">
        <f t="shared" si="0"/>
        <v>4</v>
      </c>
      <c r="C8" s="12">
        <f t="shared" si="1"/>
        <v>5.625</v>
      </c>
      <c r="D8" s="12">
        <f t="shared" si="2"/>
        <v>5.75</v>
      </c>
      <c r="E8" s="12">
        <f t="shared" si="3"/>
        <v>5.6875</v>
      </c>
      <c r="F8" s="12">
        <f t="shared" si="4"/>
        <v>0.15705352099906067</v>
      </c>
      <c r="G8" s="12">
        <f t="shared" si="5"/>
        <v>3.6625586454641201E-2</v>
      </c>
      <c r="H8" s="12">
        <f t="shared" si="6"/>
        <v>6.25E-2</v>
      </c>
      <c r="I8" s="13" t="str">
        <f>IF(OR(ABS(G8)&lt;[1]CONFIG!$C$7,H8&lt;[1]CONFIG!$C$7),"Si","No")</f>
        <v>No</v>
      </c>
    </row>
    <row r="9" spans="2:9" x14ac:dyDescent="0.25">
      <c r="B9" s="4">
        <f t="shared" si="0"/>
        <v>5</v>
      </c>
      <c r="C9" s="12">
        <f t="shared" si="1"/>
        <v>5.6875</v>
      </c>
      <c r="D9" s="12">
        <f t="shared" si="2"/>
        <v>5.75</v>
      </c>
      <c r="E9" s="12">
        <f t="shared" si="3"/>
        <v>5.71875</v>
      </c>
      <c r="F9" s="12">
        <f t="shared" si="4"/>
        <v>3.6625586454641201E-2</v>
      </c>
      <c r="G9" s="12">
        <f t="shared" si="5"/>
        <v>-2.3916234089780275E-2</v>
      </c>
      <c r="H9" s="12">
        <f t="shared" si="6"/>
        <v>3.125E-2</v>
      </c>
      <c r="I9" s="13" t="str">
        <f>IF(OR(ABS(G9)&lt;[1]CONFIG!$C$7,H9&lt;[1]CONFIG!$C$7),"Si","No")</f>
        <v>No</v>
      </c>
    </row>
    <row r="10" spans="2:9" x14ac:dyDescent="0.25">
      <c r="B10" s="4">
        <f t="shared" si="0"/>
        <v>6</v>
      </c>
      <c r="C10" s="12">
        <f t="shared" si="1"/>
        <v>5.6875</v>
      </c>
      <c r="D10" s="12">
        <f t="shared" si="2"/>
        <v>5.71875</v>
      </c>
      <c r="E10" s="12">
        <f t="shared" si="3"/>
        <v>5.703125</v>
      </c>
      <c r="F10" s="12">
        <f t="shared" si="4"/>
        <v>3.6625586454641201E-2</v>
      </c>
      <c r="G10" s="12">
        <f t="shared" si="5"/>
        <v>6.3808584027273962E-3</v>
      </c>
      <c r="H10" s="12">
        <f t="shared" si="6"/>
        <v>1.5625E-2</v>
      </c>
      <c r="I10" s="13" t="str">
        <f>IF(OR(ABS(G10)&lt;[1]CONFIG!$C$7,H10&lt;[1]CONFIG!$C$7),"Si","No")</f>
        <v>No</v>
      </c>
    </row>
    <row r="11" spans="2:9" x14ac:dyDescent="0.25">
      <c r="B11" s="4">
        <f t="shared" si="0"/>
        <v>7</v>
      </c>
      <c r="C11" s="12">
        <f t="shared" si="1"/>
        <v>5.703125</v>
      </c>
      <c r="D11" s="12">
        <f t="shared" si="2"/>
        <v>5.71875</v>
      </c>
      <c r="E11" s="12">
        <f t="shared" si="3"/>
        <v>5.7109375</v>
      </c>
      <c r="F11" s="12">
        <f t="shared" si="4"/>
        <v>6.3808584027273962E-3</v>
      </c>
      <c r="G11" s="12">
        <f t="shared" si="5"/>
        <v>-8.7612279860023179E-3</v>
      </c>
      <c r="H11" s="12">
        <f t="shared" si="6"/>
        <v>7.8125E-3</v>
      </c>
      <c r="I11" s="13" t="str">
        <f>IF(OR(ABS(G11)&lt;[1]CONFIG!$C$7,H11&lt;[1]CONFIG!$C$7),"Si","No")</f>
        <v>No</v>
      </c>
    </row>
    <row r="12" spans="2:9" x14ac:dyDescent="0.25">
      <c r="B12" s="4">
        <f t="shared" si="0"/>
        <v>8</v>
      </c>
      <c r="C12" s="12">
        <f t="shared" si="1"/>
        <v>5.703125</v>
      </c>
      <c r="D12" s="12">
        <f t="shared" si="2"/>
        <v>5.7109375</v>
      </c>
      <c r="E12" s="12">
        <f t="shared" si="3"/>
        <v>5.70703125</v>
      </c>
      <c r="F12" s="12">
        <f t="shared" si="4"/>
        <v>6.3808584027273962E-3</v>
      </c>
      <c r="G12" s="12">
        <f t="shared" si="5"/>
        <v>-1.1885591072906543E-3</v>
      </c>
      <c r="H12" s="12">
        <f t="shared" si="6"/>
        <v>3.90625E-3</v>
      </c>
      <c r="I12" s="13" t="str">
        <f>IF(OR(ABS(G12)&lt;[1]CONFIG!$C$7,H12&lt;[1]CONFIG!$C$7),"Si","No")</f>
        <v>No</v>
      </c>
    </row>
    <row r="13" spans="2:9" x14ac:dyDescent="0.25">
      <c r="B13" s="4">
        <f t="shared" si="0"/>
        <v>9</v>
      </c>
      <c r="C13" s="12">
        <f t="shared" si="1"/>
        <v>5.703125</v>
      </c>
      <c r="D13" s="12">
        <f t="shared" si="2"/>
        <v>5.70703125</v>
      </c>
      <c r="E13" s="12">
        <f t="shared" si="3"/>
        <v>5.705078125</v>
      </c>
      <c r="F13" s="12">
        <f t="shared" si="4"/>
        <v>6.3808584027273962E-3</v>
      </c>
      <c r="G13" s="12">
        <f t="shared" si="5"/>
        <v>2.5965574081250331E-3</v>
      </c>
      <c r="H13" s="12">
        <f t="shared" si="6"/>
        <v>1.953125E-3</v>
      </c>
      <c r="I13" s="13" t="str">
        <f>IF(OR(ABS(G13)&lt;[1]CONFIG!$C$7,H13&lt;[1]CONFIG!$C$7),"Si","No")</f>
        <v>No</v>
      </c>
    </row>
    <row r="14" spans="2:9" x14ac:dyDescent="0.25">
      <c r="B14" s="4">
        <f t="shared" si="0"/>
        <v>10</v>
      </c>
      <c r="C14" s="12">
        <f t="shared" si="1"/>
        <v>5.705078125</v>
      </c>
      <c r="D14" s="12">
        <f t="shared" si="2"/>
        <v>5.70703125</v>
      </c>
      <c r="E14" s="12">
        <f t="shared" si="3"/>
        <v>5.7060546875</v>
      </c>
      <c r="F14" s="12">
        <f t="shared" si="4"/>
        <v>2.5965574081250331E-3</v>
      </c>
      <c r="G14" s="12">
        <f t="shared" si="5"/>
        <v>7.0410092313410999E-4</v>
      </c>
      <c r="H14" s="12">
        <f t="shared" si="6"/>
        <v>9.765625E-4</v>
      </c>
      <c r="I14" s="13" t="str">
        <f>IF(OR(ABS(G14)&lt;[1]CONFIG!$C$7,H14&lt;[1]CONFIG!$C$7),"Si","No")</f>
        <v>No</v>
      </c>
    </row>
    <row r="15" spans="2:9" x14ac:dyDescent="0.25">
      <c r="B15" s="4">
        <f t="shared" si="0"/>
        <v>11</v>
      </c>
      <c r="C15" s="12">
        <f t="shared" si="1"/>
        <v>5.7060546875</v>
      </c>
      <c r="D15" s="12">
        <f t="shared" si="2"/>
        <v>5.70703125</v>
      </c>
      <c r="E15" s="12">
        <f t="shared" si="3"/>
        <v>5.70654296875</v>
      </c>
      <c r="F15" s="12">
        <f t="shared" si="4"/>
        <v>7.0410092313410999E-4</v>
      </c>
      <c r="G15" s="12">
        <f t="shared" si="5"/>
        <v>-2.4220366982463659E-4</v>
      </c>
      <c r="H15" s="12">
        <f t="shared" si="6"/>
        <v>4.8828125E-4</v>
      </c>
      <c r="I15" s="13" t="str">
        <f>IF(OR(ABS(G15)&lt;[1]CONFIG!$C$7,H15&lt;[1]CONFIG!$C$7),"Si","No")</f>
        <v>No</v>
      </c>
    </row>
    <row r="16" spans="2:9" x14ac:dyDescent="0.25">
      <c r="B16" s="4">
        <f t="shared" si="0"/>
        <v>12</v>
      </c>
      <c r="C16" s="12">
        <f t="shared" si="1"/>
        <v>5.7060546875</v>
      </c>
      <c r="D16" s="12">
        <f t="shared" si="2"/>
        <v>5.70654296875</v>
      </c>
      <c r="E16" s="12">
        <f t="shared" si="3"/>
        <v>5.706298828125</v>
      </c>
      <c r="F16" s="12">
        <f t="shared" si="4"/>
        <v>7.0410092313410999E-4</v>
      </c>
      <c r="G16" s="12">
        <f t="shared" si="5"/>
        <v>2.3095498483405308E-4</v>
      </c>
      <c r="H16" s="12">
        <f t="shared" si="6"/>
        <v>2.44140625E-4</v>
      </c>
      <c r="I16" s="13" t="str">
        <f>IF(OR(ABS(G16)&lt;[1]CONFIG!$C$7,H16&lt;[1]CONFIG!$C$7),"Si","No")</f>
        <v>No</v>
      </c>
    </row>
    <row r="17" spans="2:9" x14ac:dyDescent="0.25">
      <c r="B17" s="4">
        <f t="shared" si="0"/>
        <v>13</v>
      </c>
      <c r="C17" s="12">
        <f t="shared" si="1"/>
        <v>5.706298828125</v>
      </c>
      <c r="D17" s="12">
        <f t="shared" si="2"/>
        <v>5.70654296875</v>
      </c>
      <c r="E17" s="12">
        <f t="shared" si="3"/>
        <v>5.7064208984375</v>
      </c>
      <c r="F17" s="12">
        <f t="shared" si="4"/>
        <v>2.3095498483405308E-4</v>
      </c>
      <c r="G17" s="12">
        <f t="shared" si="5"/>
        <v>-5.622753277645387E-6</v>
      </c>
      <c r="H17" s="12">
        <f t="shared" si="6"/>
        <v>1.220703125E-4</v>
      </c>
      <c r="I17" s="13" t="str">
        <f>IF(OR(ABS(G17)&lt;[1]CONFIG!$C$7,H17&lt;[1]CONFIG!$C$7),"Si","No")</f>
        <v>No</v>
      </c>
    </row>
    <row r="18" spans="2:9" x14ac:dyDescent="0.25">
      <c r="B18" s="4">
        <f t="shared" si="0"/>
        <v>14</v>
      </c>
      <c r="C18" s="12">
        <f t="shared" si="1"/>
        <v>5.706298828125</v>
      </c>
      <c r="D18" s="12">
        <f t="shared" si="2"/>
        <v>5.7064208984375</v>
      </c>
      <c r="E18" s="12">
        <f t="shared" si="3"/>
        <v>5.70635986328125</v>
      </c>
      <c r="F18" s="12">
        <f t="shared" si="4"/>
        <v>2.3095498483405308E-4</v>
      </c>
      <c r="G18" s="12">
        <f t="shared" si="5"/>
        <v>1.1266651312347165E-4</v>
      </c>
      <c r="H18" s="12">
        <f t="shared" si="6"/>
        <v>6.103515625E-5</v>
      </c>
      <c r="I18" s="13" t="str">
        <f>IF(OR(ABS(G18)&lt;[1]CONFIG!$C$7,H18&lt;[1]CONFIG!$C$7),"Si","No")</f>
        <v>No</v>
      </c>
    </row>
    <row r="19" spans="2:9" x14ac:dyDescent="0.25">
      <c r="B19" s="4">
        <f t="shared" si="0"/>
        <v>15</v>
      </c>
      <c r="C19" s="12">
        <f t="shared" si="1"/>
        <v>5.70635986328125</v>
      </c>
      <c r="D19" s="12">
        <f t="shared" si="2"/>
        <v>5.7064208984375</v>
      </c>
      <c r="E19" s="12">
        <f t="shared" si="3"/>
        <v>5.706390380859375</v>
      </c>
      <c r="F19" s="12">
        <f t="shared" si="4"/>
        <v>1.1266651312347165E-4</v>
      </c>
      <c r="G19" s="12">
        <f t="shared" si="5"/>
        <v>5.3521979254123053E-5</v>
      </c>
      <c r="H19" s="12">
        <f t="shared" si="6"/>
        <v>3.0517578125E-5</v>
      </c>
      <c r="I19" s="13" t="str">
        <f>IF(OR(ABS(G19)&lt;[1]CONFIG!$C$7,H19&lt;[1]CONFIG!$C$7),"Si","No")</f>
        <v>No</v>
      </c>
    </row>
    <row r="20" spans="2:9" x14ac:dyDescent="0.25">
      <c r="B20" s="4">
        <f t="shared" si="0"/>
        <v>16</v>
      </c>
      <c r="C20" s="12">
        <f t="shared" si="1"/>
        <v>5.706390380859375</v>
      </c>
      <c r="D20" s="12">
        <f t="shared" si="2"/>
        <v>5.7064208984375</v>
      </c>
      <c r="E20" s="12">
        <f t="shared" si="3"/>
        <v>5.7064056396484375</v>
      </c>
      <c r="F20" s="12">
        <f t="shared" si="4"/>
        <v>5.3521979254123053E-5</v>
      </c>
      <c r="G20" s="12">
        <f t="shared" si="5"/>
        <v>2.3949637820486203E-5</v>
      </c>
      <c r="H20" s="12">
        <f t="shared" si="6"/>
        <v>1.52587890625E-5</v>
      </c>
      <c r="I20" s="13" t="str">
        <f>IF(OR(ABS(G20)&lt;[1]CONFIG!$C$7,H20&lt;[1]CONFIG!$C$7),"Si","No")</f>
        <v>No</v>
      </c>
    </row>
    <row r="21" spans="2:9" x14ac:dyDescent="0.25">
      <c r="B21" s="4">
        <f t="shared" si="0"/>
        <v>17</v>
      </c>
      <c r="C21" s="12">
        <f t="shared" si="1"/>
        <v>5.7064056396484375</v>
      </c>
      <c r="D21" s="12">
        <f t="shared" si="2"/>
        <v>5.7064208984375</v>
      </c>
      <c r="E21" s="12">
        <f t="shared" si="3"/>
        <v>5.7064132690429688</v>
      </c>
      <c r="F21" s="12">
        <f t="shared" si="4"/>
        <v>2.3949637820486203E-5</v>
      </c>
      <c r="G21" s="12">
        <f t="shared" si="5"/>
        <v>9.1634484795655169E-6</v>
      </c>
      <c r="H21" s="12">
        <f t="shared" si="6"/>
        <v>7.62939453125E-6</v>
      </c>
      <c r="I21" s="13" t="str">
        <f>IF(OR(ABS(G21)&lt;[1]CONFIG!$C$7,H21&lt;[1]CONFIG!$C$7),"Si","No")</f>
        <v>No</v>
      </c>
    </row>
    <row r="22" spans="2:9" x14ac:dyDescent="0.25">
      <c r="B22" s="4">
        <f t="shared" si="0"/>
        <v>18</v>
      </c>
      <c r="C22" s="12">
        <f t="shared" si="1"/>
        <v>5.7064132690429688</v>
      </c>
      <c r="D22" s="12">
        <f t="shared" si="2"/>
        <v>5.7064208984375</v>
      </c>
      <c r="E22" s="12">
        <f t="shared" si="3"/>
        <v>5.7064170837402344</v>
      </c>
      <c r="F22" s="12">
        <f t="shared" si="4"/>
        <v>9.1634484795655169E-6</v>
      </c>
      <c r="G22" s="12">
        <f t="shared" si="5"/>
        <v>1.7703491530518534E-6</v>
      </c>
      <c r="H22" s="12">
        <f t="shared" si="6"/>
        <v>3.814697265625E-6</v>
      </c>
      <c r="I22" s="13" t="str">
        <f>IF(OR(ABS(G22)&lt;[1]CONFIG!$C$7,H22&lt;[1]CONFIG!$C$7),"Si","No")</f>
        <v>No</v>
      </c>
    </row>
    <row r="23" spans="2:9" x14ac:dyDescent="0.25">
      <c r="B23" s="4">
        <f t="shared" si="0"/>
        <v>19</v>
      </c>
      <c r="C23" s="12">
        <f t="shared" si="1"/>
        <v>5.7064170837402344</v>
      </c>
      <c r="D23" s="12">
        <f t="shared" si="2"/>
        <v>5.7064208984375</v>
      </c>
      <c r="E23" s="12">
        <f t="shared" si="3"/>
        <v>5.7064189910888672</v>
      </c>
      <c r="F23" s="12">
        <f t="shared" si="4"/>
        <v>1.7703491530518534E-6</v>
      </c>
      <c r="G23" s="12">
        <f t="shared" si="5"/>
        <v>-1.9262016741627974E-6</v>
      </c>
      <c r="H23" s="12">
        <f t="shared" si="6"/>
        <v>1.9073486328125E-6</v>
      </c>
      <c r="I23" s="13" t="str">
        <f>IF(OR(ABS(G23)&lt;[1]CONFIG!$C$7,H23&lt;[1]CONFIG!$C$7),"Si","No")</f>
        <v>No</v>
      </c>
    </row>
    <row r="24" spans="2:9" x14ac:dyDescent="0.25">
      <c r="B24" s="4">
        <f t="shared" si="0"/>
        <v>20</v>
      </c>
      <c r="C24" s="12">
        <f t="shared" si="1"/>
        <v>5.7064170837402344</v>
      </c>
      <c r="D24" s="12">
        <f t="shared" si="2"/>
        <v>5.7064189910888672</v>
      </c>
      <c r="E24" s="12">
        <f t="shared" si="3"/>
        <v>5.7064180374145508</v>
      </c>
      <c r="F24" s="12">
        <f t="shared" si="4"/>
        <v>1.7703491530518534E-6</v>
      </c>
      <c r="G24" s="12">
        <f t="shared" si="5"/>
        <v>-7.7926163744024279E-8</v>
      </c>
      <c r="H24" s="12">
        <f t="shared" si="6"/>
        <v>9.5367431640625E-7</v>
      </c>
      <c r="I24" s="13" t="str">
        <f>IF(OR(ABS(G24)&lt;[1]CONFIG!$C$7,H24&lt;[1]CONFIG!$C$7),"Si","No")</f>
        <v>Si</v>
      </c>
    </row>
    <row r="25" spans="2:9" x14ac:dyDescent="0.25">
      <c r="B25" s="4">
        <f t="shared" si="0"/>
        <v>21</v>
      </c>
      <c r="C25" s="12">
        <f t="shared" si="1"/>
        <v>5.7064170837402344</v>
      </c>
      <c r="D25" s="12">
        <f t="shared" si="2"/>
        <v>5.7064180374145508</v>
      </c>
      <c r="E25" s="12">
        <f t="shared" si="3"/>
        <v>5.7064175605773926</v>
      </c>
      <c r="F25" s="12">
        <f t="shared" si="4"/>
        <v>1.7703491530518534E-6</v>
      </c>
      <c r="G25" s="12">
        <f t="shared" si="5"/>
        <v>8.4621151907882108E-7</v>
      </c>
      <c r="H25" s="12">
        <f t="shared" si="6"/>
        <v>4.76837158203125E-7</v>
      </c>
      <c r="I25" s="13" t="str">
        <f>IF(OR(ABS(G25)&lt;[1]CONFIG!$C$7,H25&lt;[1]CONFIG!$C$7),"Si","No")</f>
        <v>Si</v>
      </c>
    </row>
  </sheetData>
  <mergeCells count="1">
    <mergeCell ref="B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2BA8-1FC6-49F0-BF67-29BE76C9D15C}">
  <dimension ref="B3:D7"/>
  <sheetViews>
    <sheetView workbookViewId="0">
      <selection activeCell="G14" sqref="G14"/>
    </sheetView>
  </sheetViews>
  <sheetFormatPr baseColWidth="10" defaultRowHeight="15" x14ac:dyDescent="0.25"/>
  <cols>
    <col min="2" max="2" width="13.42578125" customWidth="1"/>
    <col min="3" max="3" width="14.42578125" customWidth="1"/>
  </cols>
  <sheetData>
    <row r="3" spans="2:4" ht="20.25" customHeight="1" x14ac:dyDescent="0.25">
      <c r="B3" s="3" t="s">
        <v>26</v>
      </c>
      <c r="C3" s="3"/>
      <c r="D3" s="3"/>
    </row>
    <row r="4" spans="2:4" ht="21" customHeight="1" x14ac:dyDescent="0.25">
      <c r="B4" s="11" t="s">
        <v>27</v>
      </c>
      <c r="C4" s="11"/>
      <c r="D4" s="11"/>
    </row>
    <row r="5" spans="2:4" x14ac:dyDescent="0.25">
      <c r="B5" s="2"/>
      <c r="C5" s="2"/>
      <c r="D5" s="2"/>
    </row>
    <row r="6" spans="2:4" x14ac:dyDescent="0.25">
      <c r="B6" s="8" t="s">
        <v>11</v>
      </c>
      <c r="C6" s="9">
        <f>[1]RAÍZ!E24</f>
        <v>5.7064180374145508</v>
      </c>
      <c r="D6" s="9">
        <f>[1]RAÍZ!G24</f>
        <v>-7.7926163744024279E-8</v>
      </c>
    </row>
    <row r="7" spans="2:4" x14ac:dyDescent="0.25">
      <c r="B7" s="8" t="s">
        <v>12</v>
      </c>
      <c r="C7" s="9">
        <f>COUNTIF([1]RAÍZ!I5:I24,"→")+1</f>
        <v>20</v>
      </c>
      <c r="D7" s="9"/>
    </row>
  </sheetData>
  <mergeCells count="2">
    <mergeCell ref="B3:D3"/>
    <mergeCell ref="B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BF36-0DC9-49B1-B1BB-5AAF2C6A7E61}">
  <dimension ref="B3:H7"/>
  <sheetViews>
    <sheetView workbookViewId="0">
      <selection activeCell="J11" sqref="J11"/>
    </sheetView>
  </sheetViews>
  <sheetFormatPr baseColWidth="10" defaultRowHeight="15" x14ac:dyDescent="0.25"/>
  <cols>
    <col min="2" max="2" width="15.7109375" customWidth="1"/>
    <col min="8" max="8" width="16.28515625" customWidth="1"/>
  </cols>
  <sheetData>
    <row r="3" spans="2:8" x14ac:dyDescent="0.25">
      <c r="B3" s="3" t="s">
        <v>13</v>
      </c>
      <c r="C3" s="3"/>
      <c r="D3" s="3"/>
      <c r="E3" s="3"/>
      <c r="F3" s="3"/>
      <c r="G3" s="3"/>
      <c r="H3" s="3"/>
    </row>
    <row r="4" spans="2:8" x14ac:dyDescent="0.25">
      <c r="B4" s="4" t="s">
        <v>25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9</v>
      </c>
      <c r="H4" s="4" t="s">
        <v>24</v>
      </c>
    </row>
    <row r="5" spans="2:8" x14ac:dyDescent="0.25">
      <c r="B5" s="4">
        <v>1</v>
      </c>
      <c r="C5" s="12">
        <v>5.5</v>
      </c>
      <c r="D5" s="14">
        <f>3*SIN(0.5*C5) - 0.5*C5 + 2</f>
        <v>0.39498297615699496</v>
      </c>
      <c r="E5" s="12">
        <f>1.5*COS(0.5*C5) - 0.5</f>
        <v>-1.8864535679486953</v>
      </c>
      <c r="F5" s="12">
        <f>C5 - D5/E5</f>
        <v>5.7093785836385544</v>
      </c>
      <c r="G5" s="15">
        <f>ABS(F5-C5)</f>
        <v>0.20937858363855444</v>
      </c>
      <c r="H5" s="13" t="str">
        <f>IF(OR(ABS(D5)&lt;=[1]CONFIG!$C$7,G5&lt;=[1]CONFIG!$C$7),"Si","No")</f>
        <v>No</v>
      </c>
    </row>
    <row r="6" spans="2:8" x14ac:dyDescent="0.25">
      <c r="B6" s="4">
        <f>B5+1</f>
        <v>2</v>
      </c>
      <c r="C6" s="12">
        <f>F5</f>
        <v>5.7093785836385544</v>
      </c>
      <c r="D6" s="14">
        <f>3*SIN(0.5*C6) - 0.5*C6 + 2</f>
        <v>-5.7387191946283167E-3</v>
      </c>
      <c r="E6" s="12">
        <f>1.5*COS(0.5*C6) - 0.5</f>
        <v>-1.9386871554685092</v>
      </c>
      <c r="F6" s="12">
        <f>C6 - D6/E6</f>
        <v>5.7064184777862819</v>
      </c>
      <c r="G6" s="15">
        <f>ABS(F6-C6)</f>
        <v>2.9601058522725765E-3</v>
      </c>
      <c r="H6" s="13" t="str">
        <f>IF(OR(ABS(D6)&lt;=[1]CONFIG!$C$7,G6&lt;=[1]CONFIG!$C$7),"Si","No")</f>
        <v>No</v>
      </c>
    </row>
    <row r="7" spans="2:8" x14ac:dyDescent="0.25">
      <c r="B7" s="4">
        <f>B6+1</f>
        <v>3</v>
      </c>
      <c r="C7" s="12">
        <f>F6</f>
        <v>5.7064184777862819</v>
      </c>
      <c r="D7" s="14">
        <f>3*SIN(0.5*C7) - 0.5*C7 + 2</f>
        <v>-9.313918063469373E-7</v>
      </c>
      <c r="E7" s="12">
        <f>1.5*COS(0.5*C7) - 0.5</f>
        <v>-1.9380573340457177</v>
      </c>
      <c r="F7" s="12">
        <f>C7 - D7/E7</f>
        <v>5.7064179972061719</v>
      </c>
      <c r="G7" s="15">
        <f>ABS(F7-C7)</f>
        <v>4.8058010992946265E-7</v>
      </c>
      <c r="H7" s="13" t="str">
        <f>IF(OR(ABS(D7)&lt;=[1]CONFIG!$C$7,G7&lt;=[1]CONFIG!$C$7),"Si","No")</f>
        <v>Si</v>
      </c>
    </row>
  </sheetData>
  <mergeCells count="1">
    <mergeCell ref="B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D70B7-2400-47FE-B5DC-1F378F0316CF}">
  <dimension ref="B3:D7"/>
  <sheetViews>
    <sheetView workbookViewId="0">
      <selection activeCell="G9" sqref="G9"/>
    </sheetView>
  </sheetViews>
  <sheetFormatPr baseColWidth="10" defaultRowHeight="15" x14ac:dyDescent="0.25"/>
  <cols>
    <col min="2" max="2" width="16.140625" customWidth="1"/>
    <col min="3" max="3" width="12.85546875" customWidth="1"/>
  </cols>
  <sheetData>
    <row r="3" spans="2:4" ht="19.5" customHeight="1" x14ac:dyDescent="0.25">
      <c r="B3" s="3" t="s">
        <v>26</v>
      </c>
      <c r="C3" s="3"/>
      <c r="D3" s="3"/>
    </row>
    <row r="4" spans="2:4" ht="21" customHeight="1" x14ac:dyDescent="0.25">
      <c r="B4" s="3" t="s">
        <v>13</v>
      </c>
      <c r="C4" s="3"/>
      <c r="D4" s="3"/>
    </row>
    <row r="5" spans="2:4" x14ac:dyDescent="0.25">
      <c r="B5" s="2"/>
      <c r="C5" s="2"/>
      <c r="D5" s="2"/>
    </row>
    <row r="6" spans="2:4" x14ac:dyDescent="0.25">
      <c r="B6" s="8" t="s">
        <v>14</v>
      </c>
      <c r="C6" s="9">
        <f>'[1]NEWTON=5.5'!F7</f>
        <v>5.7064179972061719</v>
      </c>
      <c r="D6" s="10">
        <f>'[1]NEWTON=5.5'!G7</f>
        <v>4.8058010992946265E-7</v>
      </c>
    </row>
    <row r="7" spans="2:4" x14ac:dyDescent="0.25">
      <c r="B7" s="4" t="s">
        <v>12</v>
      </c>
      <c r="C7" s="9">
        <f>COUNTIF('[1]NEWTON=5.5'!H5:H7,"→")+1</f>
        <v>3</v>
      </c>
      <c r="D7" s="9"/>
    </row>
  </sheetData>
  <mergeCells count="2">
    <mergeCell ref="B3:D3"/>
    <mergeCell ref="B4:D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4C332-AD0E-4ED1-8C11-788830BA64DF}">
  <dimension ref="B3:I8"/>
  <sheetViews>
    <sheetView workbookViewId="0">
      <selection activeCell="N10" sqref="N10"/>
    </sheetView>
  </sheetViews>
  <sheetFormatPr baseColWidth="10" defaultRowHeight="15" x14ac:dyDescent="0.25"/>
  <cols>
    <col min="2" max="2" width="15.5703125" customWidth="1"/>
    <col min="9" max="9" width="16.140625" customWidth="1"/>
  </cols>
  <sheetData>
    <row r="3" spans="2:9" x14ac:dyDescent="0.25">
      <c r="B3" s="3" t="s">
        <v>15</v>
      </c>
      <c r="C3" s="3"/>
      <c r="D3" s="3"/>
      <c r="E3" s="3"/>
      <c r="F3" s="3"/>
      <c r="G3" s="3"/>
      <c r="H3" s="3"/>
      <c r="I3" s="3"/>
    </row>
    <row r="4" spans="2:9" x14ac:dyDescent="0.25">
      <c r="B4" s="4" t="s">
        <v>18</v>
      </c>
      <c r="C4" s="4" t="s">
        <v>32</v>
      </c>
      <c r="D4" s="4" t="s">
        <v>28</v>
      </c>
      <c r="E4" s="4" t="s">
        <v>33</v>
      </c>
      <c r="F4" s="4" t="s">
        <v>29</v>
      </c>
      <c r="G4" s="4" t="s">
        <v>31</v>
      </c>
      <c r="H4" s="4" t="s">
        <v>9</v>
      </c>
      <c r="I4" s="4" t="s">
        <v>24</v>
      </c>
    </row>
    <row r="5" spans="2:9" x14ac:dyDescent="0.25">
      <c r="B5" s="4">
        <v>1</v>
      </c>
      <c r="C5" s="12">
        <v>5</v>
      </c>
      <c r="D5" s="12">
        <v>6</v>
      </c>
      <c r="E5" s="12">
        <f>3*SIN(0.5*C5) - 0.5*C5 + 2</f>
        <v>1.2954164323118698</v>
      </c>
      <c r="F5" s="12">
        <f>3*SIN(0.5*D5) - 0.5*D5 + 2</f>
        <v>-0.57663997582039839</v>
      </c>
      <c r="G5" s="12">
        <f>D5 - F5*(D5-C5)/(F5-E5)</f>
        <v>5.6919751064575523</v>
      </c>
      <c r="H5" s="15">
        <f>ABS(G5-D5)</f>
        <v>0.30802489354244766</v>
      </c>
      <c r="I5" s="13" t="str">
        <f>IF(OR(ABS(G5)&lt;[1]CONFIG!$C$7,H5&lt;[1]CONFIG!$C$7),"Si","No")</f>
        <v>No</v>
      </c>
    </row>
    <row r="6" spans="2:9" x14ac:dyDescent="0.25">
      <c r="B6" s="4">
        <f>B5+1</f>
        <v>2</v>
      </c>
      <c r="C6" s="12">
        <f>D5</f>
        <v>6</v>
      </c>
      <c r="D6" s="12">
        <f>G5</f>
        <v>5.6919751064575523</v>
      </c>
      <c r="E6" s="12">
        <f>F5</f>
        <v>-0.57663997582039839</v>
      </c>
      <c r="F6" s="12">
        <f>3*SIN(0.5*D6) - 0.5*D6 + 2</f>
        <v>2.7968721321341095E-2</v>
      </c>
      <c r="G6" s="12">
        <f>D6 - F6*(D6-C6)/(F6-E6)</f>
        <v>5.7062240950153615</v>
      </c>
      <c r="H6" s="15">
        <f>ABS(G6-D6)</f>
        <v>1.4248988557809206E-2</v>
      </c>
      <c r="I6" s="13" t="str">
        <f>IF(OR(ABS(G6)&lt;[1]CONFIG!$C$7,H6&lt;[1]CONFIG!$C$7),"Si","No")</f>
        <v>No</v>
      </c>
    </row>
    <row r="7" spans="2:9" x14ac:dyDescent="0.25">
      <c r="B7" s="4">
        <f>B6+1</f>
        <v>3</v>
      </c>
      <c r="C7" s="12">
        <f>D6</f>
        <v>5.6919751064575523</v>
      </c>
      <c r="D7" s="12">
        <f>G6</f>
        <v>5.7062240950153615</v>
      </c>
      <c r="E7" s="12">
        <f>F6</f>
        <v>2.7968721321341095E-2</v>
      </c>
      <c r="F7" s="12">
        <f>3*SIN(0.5*D7) - 0.5*D7 + 2</f>
        <v>3.7578953277472849E-4</v>
      </c>
      <c r="G7" s="12">
        <f>D7 - F7*(D7-C7)/(F7-E7)</f>
        <v>5.7064181527107776</v>
      </c>
      <c r="H7" s="15">
        <f>ABS(G7-D7)</f>
        <v>1.940576954160278E-4</v>
      </c>
      <c r="I7" s="13" t="str">
        <f>IF(OR(ABS(G7)&lt;[1]CONFIG!$C$7,H7&lt;[1]CONFIG!$C$7),"Si","No")</f>
        <v>No</v>
      </c>
    </row>
    <row r="8" spans="2:9" x14ac:dyDescent="0.25">
      <c r="B8" s="4">
        <f>B7+1</f>
        <v>4</v>
      </c>
      <c r="C8" s="12">
        <f>D7</f>
        <v>5.7062240950153615</v>
      </c>
      <c r="D8" s="12">
        <f>G7</f>
        <v>5.7064181527107776</v>
      </c>
      <c r="E8" s="12">
        <f>F7</f>
        <v>3.7578953277472849E-4</v>
      </c>
      <c r="F8" s="12">
        <f>3*SIN(0.5*D8) - 0.5*D8 + 2</f>
        <v>-3.0137685236297784E-7</v>
      </c>
      <c r="G8" s="12">
        <f>D8 - F8*(D8-C8)/(F8-E8)</f>
        <v>5.7064179972044995</v>
      </c>
      <c r="H8" s="15">
        <f>ABS(G8-D8)</f>
        <v>1.5550627807670026E-7</v>
      </c>
      <c r="I8" s="13" t="str">
        <f>IF(OR(ABS(G8)&lt;[1]CONFIG!$C$7,H8&lt;[1]CONFIG!$C$7),"Si","No")</f>
        <v>Si</v>
      </c>
    </row>
  </sheetData>
  <mergeCells count="1">
    <mergeCell ref="B3:I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40490-8F67-4438-B640-6DA986C7530B}">
  <dimension ref="B3:D7"/>
  <sheetViews>
    <sheetView workbookViewId="0">
      <selection activeCell="G8" sqref="G8"/>
    </sheetView>
  </sheetViews>
  <sheetFormatPr baseColWidth="10" defaultRowHeight="15" x14ac:dyDescent="0.25"/>
  <cols>
    <col min="2" max="2" width="14.28515625" customWidth="1"/>
    <col min="3" max="3" width="12.42578125" customWidth="1"/>
  </cols>
  <sheetData>
    <row r="3" spans="2:4" ht="20.25" customHeight="1" x14ac:dyDescent="0.25">
      <c r="B3" s="3" t="s">
        <v>26</v>
      </c>
      <c r="C3" s="3"/>
      <c r="D3" s="3"/>
    </row>
    <row r="4" spans="2:4" ht="20.25" customHeight="1" x14ac:dyDescent="0.25">
      <c r="B4" s="3" t="s">
        <v>15</v>
      </c>
      <c r="C4" s="3"/>
      <c r="D4" s="3"/>
    </row>
    <row r="5" spans="2:4" x14ac:dyDescent="0.25">
      <c r="B5" s="2"/>
      <c r="C5" s="2"/>
      <c r="D5" s="2"/>
    </row>
    <row r="6" spans="2:4" x14ac:dyDescent="0.25">
      <c r="B6" s="8" t="s">
        <v>16</v>
      </c>
      <c r="C6" s="9">
        <f>'[1]SEC=5.0,6.0'!D8</f>
        <v>5.7064181527107776</v>
      </c>
      <c r="D6" s="10">
        <f>'[1]SEC=5.0,6.0'!H8</f>
        <v>1.5550627807670026E-7</v>
      </c>
    </row>
    <row r="7" spans="2:4" x14ac:dyDescent="0.25">
      <c r="B7" s="8" t="s">
        <v>12</v>
      </c>
      <c r="C7" s="9">
        <f>COUNTIF('[1]SEC=5.0,6.0'!I5:I8,"→")+1</f>
        <v>4</v>
      </c>
      <c r="D7" s="9"/>
    </row>
  </sheetData>
  <mergeCells count="2">
    <mergeCell ref="B3:D3"/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Raiz</vt:lpstr>
      <vt:lpstr>Soluciones raiz</vt:lpstr>
      <vt:lpstr>Newton</vt:lpstr>
      <vt:lpstr>Soluciones Newton</vt:lpstr>
      <vt:lpstr>Secante</vt:lpstr>
      <vt:lpstr>Soluciones Secante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Espinoza</dc:creator>
  <cp:lastModifiedBy>Maximiliano Espinoza</cp:lastModifiedBy>
  <dcterms:created xsi:type="dcterms:W3CDTF">2025-12-01T03:08:55Z</dcterms:created>
  <dcterms:modified xsi:type="dcterms:W3CDTF">2025-12-01T03:16:00Z</dcterms:modified>
</cp:coreProperties>
</file>